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209" codeName="{00000000-0000-0000-0000-000000000000}"/>
  <workbookPr codeName="ThisWorkbook"/>
  <mc:AlternateContent xmlns:mc="http://schemas.openxmlformats.org/markup-compatibility/2006">
    <mc:Choice Requires="x15">
      <x15ac:absPath xmlns:x15ac="http://schemas.microsoft.com/office/spreadsheetml/2010/11/ac" url="/Users/jeffjohnson/dev/sbac/git/smarterapp.github.io/_original_documents/"/>
    </mc:Choice>
  </mc:AlternateContent>
  <bookViews>
    <workbookView xWindow="0" yWindow="440" windowWidth="68800" windowHeight="28280"/>
  </bookViews>
  <sheets>
    <sheet name="Worksheet" sheetId="2" r:id="rId1"/>
    <sheet name="Costs" sheetId="3" r:id="rId2"/>
  </sheets>
  <definedNames>
    <definedName name="AssmtCreationMgmt">Worksheet!$B$71</definedName>
    <definedName name="Aurora">Costs!$M$108:$M$115</definedName>
    <definedName name="AverageStudentsPerIops">Costs!$B$53</definedName>
    <definedName name="CloudwatchCosts">Costs!$M$87:$Q$87</definedName>
    <definedName name="DataCapacityOH">Worksheet!$B$76</definedName>
    <definedName name="DaysPerMonth">Costs!$B$21</definedName>
    <definedName name="DbEngineNames">Costs!$A$44:$A$45</definedName>
    <definedName name="EC2costs">Costs!$M$2:$Q$33</definedName>
    <definedName name="EC2names">Costs!$M$2:$M$33</definedName>
    <definedName name="EC2storagecosts">Costs!$M$35:$Q$40</definedName>
    <definedName name="EC2storagenames">Costs!$M$35:$M$40</definedName>
    <definedName name="ElasticacheNames">Costs!$M$89:$M$106</definedName>
    <definedName name="MaxConcurrentStudents">Costs!$B$25</definedName>
    <definedName name="MaxConcurrentStudentsExamService">Costs!$B$50</definedName>
    <definedName name="MaxConcurrentStudentsLegacy">Costs!$C$25</definedName>
    <definedName name="MaxConcurrentStudentsProctorWar">Costs!$B$49</definedName>
    <definedName name="MaxConcurrentStudentsStudentWar">Costs!$B$48</definedName>
    <definedName name="MinSSOStorage">Costs!$B$37</definedName>
    <definedName name="MinTDStorage">Costs!$B$28</definedName>
    <definedName name="MinTISStorage">Costs!$B$31</definedName>
    <definedName name="MinTRAStorage">Costs!$B$34</definedName>
    <definedName name="MySQL">Costs!$M$42:$M$78</definedName>
    <definedName name="RDSauroracosts">Costs!$M$108:$Q$115</definedName>
    <definedName name="RDSauroranames">Costs!$M$108:$M$115</definedName>
    <definedName name="RDScosts">Costs!$M$42:$Q$78</definedName>
    <definedName name="RDSnames">Costs!$M$42:$M$78</definedName>
    <definedName name="RDSstoragecosts">Costs!$M$80:$Q$85</definedName>
    <definedName name="RDSstoragenames">Costs!$M$80:$M$85</definedName>
    <definedName name="Region">Costs!$A$2:$B$4</definedName>
    <definedName name="RegionNames">Costs!$A$2:$A$4</definedName>
    <definedName name="SecondsPerMonth">Costs!$B$22</definedName>
    <definedName name="SelectedRegion">Worksheet!$B$75</definedName>
    <definedName name="SupportCost">Costs!$A$9:$B$13</definedName>
    <definedName name="UbuntuSupportCost">Costs!$B$7</definedName>
    <definedName name="YesNoList">Costs!$B$40:$B$41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178" i="2" l="1"/>
  <c r="B177" i="2"/>
  <c r="E38" i="2"/>
  <c r="H226" i="2"/>
  <c r="G226" i="2"/>
  <c r="F226" i="2"/>
  <c r="E226" i="2"/>
  <c r="D226" i="2"/>
  <c r="B79" i="2"/>
  <c r="C202" i="2"/>
  <c r="C226" i="2"/>
  <c r="E37" i="2"/>
  <c r="E36" i="2"/>
  <c r="B154" i="2"/>
  <c r="B155" i="2"/>
  <c r="B206" i="2"/>
  <c r="B228" i="2"/>
  <c r="B144" i="2"/>
  <c r="B145" i="2"/>
  <c r="B204" i="2"/>
  <c r="B227" i="2"/>
  <c r="B205" i="2"/>
  <c r="B225" i="2"/>
  <c r="B203" i="2"/>
  <c r="B224" i="2"/>
  <c r="B179" i="2"/>
  <c r="B180" i="2"/>
  <c r="B181" i="2"/>
  <c r="B182" i="2"/>
  <c r="B183" i="2"/>
  <c r="B184" i="2"/>
  <c r="I204" i="2"/>
  <c r="I227" i="2"/>
  <c r="I203" i="2"/>
  <c r="I226" i="2"/>
  <c r="C179" i="2"/>
  <c r="C180" i="2"/>
  <c r="C181" i="2"/>
  <c r="C182" i="2"/>
  <c r="E43" i="2"/>
  <c r="B101" i="2"/>
  <c r="C183" i="2"/>
  <c r="B102" i="2"/>
  <c r="C184" i="2"/>
  <c r="D179" i="2"/>
  <c r="D180" i="2"/>
  <c r="D181" i="2"/>
  <c r="D182" i="2"/>
  <c r="E53" i="2"/>
  <c r="C101" i="2"/>
  <c r="D183" i="2"/>
  <c r="C102" i="2"/>
  <c r="D184" i="2"/>
  <c r="D202" i="2"/>
  <c r="E179" i="2"/>
  <c r="E180" i="2"/>
  <c r="E181" i="2"/>
  <c r="E182" i="2"/>
  <c r="E183" i="2"/>
  <c r="E184" i="2"/>
  <c r="E202" i="2"/>
  <c r="F179" i="2"/>
  <c r="F180" i="2"/>
  <c r="F181" i="2"/>
  <c r="F182" i="2"/>
  <c r="F183" i="2"/>
  <c r="F184" i="2"/>
  <c r="F202" i="2"/>
  <c r="G179" i="2"/>
  <c r="G180" i="2"/>
  <c r="G181" i="2"/>
  <c r="G182" i="2"/>
  <c r="G183" i="2"/>
  <c r="G184" i="2"/>
  <c r="G202" i="2"/>
  <c r="H179" i="2"/>
  <c r="H180" i="2"/>
  <c r="H181" i="2"/>
  <c r="H182" i="2"/>
  <c r="H183" i="2"/>
  <c r="H184" i="2"/>
  <c r="H202" i="2"/>
  <c r="I202" i="2"/>
  <c r="I224" i="2"/>
  <c r="I223" i="2"/>
  <c r="H223" i="2"/>
  <c r="G223" i="2"/>
  <c r="F223" i="2"/>
  <c r="E223" i="2"/>
  <c r="D223" i="2"/>
  <c r="C223" i="2"/>
  <c r="B115" i="2"/>
  <c r="B207" i="2"/>
  <c r="C176" i="2"/>
  <c r="C201" i="2"/>
  <c r="D176" i="2"/>
  <c r="D201" i="2"/>
  <c r="E176" i="2"/>
  <c r="E201" i="2"/>
  <c r="F176" i="2"/>
  <c r="F201" i="2"/>
  <c r="G176" i="2"/>
  <c r="G201" i="2"/>
  <c r="H176" i="2"/>
  <c r="H201" i="2"/>
  <c r="I201" i="2"/>
  <c r="B169" i="2"/>
  <c r="B199" i="2"/>
  <c r="B221" i="2"/>
  <c r="B168" i="2"/>
  <c r="B198" i="2"/>
  <c r="B220" i="2"/>
  <c r="I206" i="2"/>
  <c r="H185" i="2"/>
  <c r="G185" i="2"/>
  <c r="F185" i="2"/>
  <c r="E185" i="2"/>
  <c r="D185" i="2"/>
  <c r="C185" i="2"/>
  <c r="I205" i="2"/>
  <c r="B170" i="2"/>
  <c r="B171" i="2"/>
  <c r="B172" i="2"/>
  <c r="B173" i="2"/>
  <c r="B174" i="2"/>
  <c r="B200" i="2"/>
  <c r="I199" i="2"/>
  <c r="I198" i="2"/>
  <c r="B175" i="2"/>
  <c r="B131" i="2"/>
  <c r="B166" i="2"/>
  <c r="B195" i="2"/>
  <c r="B164" i="2"/>
  <c r="B165" i="2"/>
  <c r="B194" i="2"/>
  <c r="B188" i="2"/>
  <c r="B187" i="2"/>
  <c r="B129" i="2"/>
  <c r="B125" i="2"/>
  <c r="B130" i="2"/>
  <c r="B157" i="2"/>
  <c r="E63" i="2"/>
  <c r="E64" i="2"/>
  <c r="E65" i="2"/>
  <c r="E66" i="2"/>
  <c r="I232" i="2"/>
  <c r="D91" i="2"/>
  <c r="D92" i="2"/>
  <c r="D93" i="2"/>
  <c r="E28" i="2"/>
  <c r="D81" i="2"/>
  <c r="E52" i="2"/>
  <c r="C81" i="2"/>
  <c r="G207" i="2"/>
  <c r="F207" i="2"/>
  <c r="E207" i="2"/>
  <c r="H207" i="2"/>
  <c r="D207" i="2"/>
  <c r="C207" i="2"/>
  <c r="B185" i="2"/>
  <c r="I184" i="2"/>
  <c r="C229" i="2"/>
  <c r="H229" i="2"/>
  <c r="E229" i="2"/>
  <c r="F229" i="2"/>
  <c r="D229" i="2"/>
  <c r="G229" i="2"/>
  <c r="G187" i="2"/>
  <c r="G188" i="2"/>
  <c r="F187" i="2"/>
  <c r="F188" i="2"/>
  <c r="E187" i="2"/>
  <c r="E188" i="2"/>
  <c r="H187" i="2"/>
  <c r="H188" i="2"/>
  <c r="D187" i="2"/>
  <c r="D188" i="2"/>
  <c r="C187" i="2"/>
  <c r="C188" i="2"/>
  <c r="C164" i="2"/>
  <c r="D164" i="2"/>
  <c r="H164" i="2"/>
  <c r="E164" i="2"/>
  <c r="F164" i="2"/>
  <c r="G164" i="2"/>
  <c r="C165" i="2"/>
  <c r="D165" i="2"/>
  <c r="H165" i="2"/>
  <c r="E165" i="2"/>
  <c r="F165" i="2"/>
  <c r="G165" i="2"/>
  <c r="I210" i="2"/>
  <c r="G175" i="2"/>
  <c r="F175" i="2"/>
  <c r="E175" i="2"/>
  <c r="H175" i="2"/>
  <c r="D175" i="2"/>
  <c r="C175" i="2"/>
  <c r="G174" i="2"/>
  <c r="F174" i="2"/>
  <c r="E174" i="2"/>
  <c r="H174" i="2"/>
  <c r="D174" i="2"/>
  <c r="C174" i="2"/>
  <c r="G173" i="2"/>
  <c r="F173" i="2"/>
  <c r="E173" i="2"/>
  <c r="H173" i="2"/>
  <c r="D173" i="2"/>
  <c r="C173" i="2"/>
  <c r="G172" i="2"/>
  <c r="F172" i="2"/>
  <c r="E172" i="2"/>
  <c r="H172" i="2"/>
  <c r="D172" i="2"/>
  <c r="C172" i="2"/>
  <c r="G171" i="2"/>
  <c r="F171" i="2"/>
  <c r="E171" i="2"/>
  <c r="H171" i="2"/>
  <c r="D171" i="2"/>
  <c r="C171" i="2"/>
  <c r="G170" i="2"/>
  <c r="F170" i="2"/>
  <c r="E170" i="2"/>
  <c r="H170" i="2"/>
  <c r="D170" i="2"/>
  <c r="C170" i="2"/>
  <c r="G167" i="2"/>
  <c r="F167" i="2"/>
  <c r="E167" i="2"/>
  <c r="H167" i="2"/>
  <c r="D167" i="2"/>
  <c r="C167" i="2"/>
  <c r="G166" i="2"/>
  <c r="G195" i="2"/>
  <c r="F166" i="2"/>
  <c r="F195" i="2"/>
  <c r="E166" i="2"/>
  <c r="E195" i="2"/>
  <c r="H166" i="2"/>
  <c r="H195" i="2"/>
  <c r="D166" i="2"/>
  <c r="D195" i="2"/>
  <c r="C166" i="2"/>
  <c r="C195" i="2"/>
  <c r="I185" i="2"/>
  <c r="I183" i="2"/>
  <c r="I182" i="2"/>
  <c r="I181" i="2"/>
  <c r="I180" i="2"/>
  <c r="I179" i="2"/>
  <c r="I175" i="2"/>
  <c r="I174" i="2"/>
  <c r="I173" i="2"/>
  <c r="I172" i="2"/>
  <c r="I171" i="2"/>
  <c r="I170" i="2"/>
  <c r="I166" i="2"/>
  <c r="I165" i="2"/>
  <c r="I164" i="2"/>
  <c r="H194" i="2"/>
  <c r="H216" i="2"/>
  <c r="H196" i="2"/>
  <c r="H197" i="2"/>
  <c r="H219" i="2"/>
  <c r="G194" i="2"/>
  <c r="G216" i="2"/>
  <c r="D194" i="2"/>
  <c r="D216" i="2"/>
  <c r="D196" i="2"/>
  <c r="D197" i="2"/>
  <c r="D219" i="2"/>
  <c r="C197" i="2"/>
  <c r="C219" i="2"/>
  <c r="C196" i="2"/>
  <c r="F197" i="2"/>
  <c r="F219" i="2"/>
  <c r="F196" i="2"/>
  <c r="E194" i="2"/>
  <c r="E216" i="2"/>
  <c r="G197" i="2"/>
  <c r="G219" i="2"/>
  <c r="G196" i="2"/>
  <c r="E197" i="2"/>
  <c r="E219" i="2"/>
  <c r="E196" i="2"/>
  <c r="F194" i="2"/>
  <c r="C194" i="2"/>
  <c r="C216" i="2"/>
  <c r="C217" i="2"/>
  <c r="F217" i="2"/>
  <c r="G217" i="2"/>
  <c r="E217" i="2"/>
  <c r="D217" i="2"/>
  <c r="H217" i="2"/>
  <c r="F216" i="2"/>
  <c r="I225" i="2"/>
  <c r="B189" i="2"/>
  <c r="I194" i="2"/>
  <c r="B229" i="2"/>
  <c r="E218" i="2"/>
  <c r="F218" i="2"/>
  <c r="C218" i="2"/>
  <c r="H218" i="2"/>
  <c r="I197" i="2"/>
  <c r="I219" i="2"/>
  <c r="I196" i="2"/>
  <c r="I218" i="2"/>
  <c r="G218" i="2"/>
  <c r="D218" i="2"/>
  <c r="B22" i="3"/>
  <c r="D200" i="2"/>
  <c r="H200" i="2"/>
  <c r="C200" i="2"/>
  <c r="G200" i="2"/>
  <c r="B222" i="2"/>
  <c r="F200" i="2"/>
  <c r="E200" i="2"/>
  <c r="I216" i="2"/>
  <c r="B216" i="2"/>
  <c r="I207" i="2"/>
  <c r="I229" i="2"/>
  <c r="I195" i="2"/>
  <c r="B217" i="2"/>
  <c r="G208" i="2"/>
  <c r="D208" i="2"/>
  <c r="H208" i="2"/>
  <c r="F208" i="2"/>
  <c r="E208" i="2"/>
  <c r="B208" i="2"/>
  <c r="C208" i="2"/>
  <c r="I217" i="2"/>
  <c r="B230" i="2"/>
  <c r="I200" i="2"/>
  <c r="I222" i="2"/>
  <c r="F222" i="2"/>
  <c r="F230" i="2"/>
  <c r="H222" i="2"/>
  <c r="H230" i="2"/>
  <c r="D222" i="2"/>
  <c r="D230" i="2"/>
  <c r="I228" i="2"/>
  <c r="E222" i="2"/>
  <c r="E230" i="2"/>
  <c r="G222" i="2"/>
  <c r="G230" i="2"/>
  <c r="C222" i="2"/>
  <c r="C230" i="2"/>
  <c r="I208" i="2"/>
  <c r="I230" i="2"/>
  <c r="I209" i="2"/>
  <c r="I231" i="2"/>
  <c r="I233" i="2"/>
  <c r="I211" i="2"/>
</calcChain>
</file>

<file path=xl/sharedStrings.xml><?xml version="1.0" encoding="utf-8"?>
<sst xmlns="http://schemas.openxmlformats.org/spreadsheetml/2006/main" count="778" uniqueCount="333">
  <si>
    <t>Load Balancer</t>
  </si>
  <si>
    <t>Total</t>
  </si>
  <si>
    <t>Items per student per hour</t>
  </si>
  <si>
    <t>Average KB per item</t>
  </si>
  <si>
    <t>Total number of students for Test Delivery</t>
  </si>
  <si>
    <t>Maximum expected number of concurrent students</t>
  </si>
  <si>
    <t>Test Delivery</t>
  </si>
  <si>
    <t>Shared Services</t>
  </si>
  <si>
    <t>Database server</t>
  </si>
  <si>
    <t>Number of load balancers</t>
  </si>
  <si>
    <t>Test Int &amp; Scoring</t>
  </si>
  <si>
    <t>Test Reg &amp; Adm</t>
  </si>
  <si>
    <t>SSO &amp; Perm</t>
  </si>
  <si>
    <t>Mon &amp; Alerting</t>
  </si>
  <si>
    <t>Number of baseline web servers</t>
  </si>
  <si>
    <t>Data Transfer</t>
  </si>
  <si>
    <t>N. Virginia</t>
  </si>
  <si>
    <t>N. California</t>
  </si>
  <si>
    <t>N/A</t>
  </si>
  <si>
    <t>Baseline web server</t>
  </si>
  <si>
    <t>Instance Type</t>
  </si>
  <si>
    <t>Subtotal</t>
  </si>
  <si>
    <t>Percent</t>
  </si>
  <si>
    <t>Max number of on-demand web servers</t>
  </si>
  <si>
    <t>Data Transfer Out</t>
  </si>
  <si>
    <t>Storage Type</t>
  </si>
  <si>
    <t>Million I/O</t>
  </si>
  <si>
    <t>EBS Standard</t>
  </si>
  <si>
    <t>EBS Provisioned IOPS</t>
  </si>
  <si>
    <t>EBS Snapshot to EC3</t>
  </si>
  <si>
    <t>Cost GB/mo</t>
  </si>
  <si>
    <t>Oregon</t>
  </si>
  <si>
    <t>TEST DELIVERY INFORMATION</t>
  </si>
  <si>
    <t>Data transfer GB per hour OUT</t>
  </si>
  <si>
    <t>Hours per day of on-demand web server operation</t>
  </si>
  <si>
    <t>Number of days per year of on-demand web server operation</t>
  </si>
  <si>
    <t>Load Balancer Data</t>
  </si>
  <si>
    <t>GB</t>
  </si>
  <si>
    <t>Million I/O Requests</t>
  </si>
  <si>
    <t>Provisioned IOPS per sec</t>
  </si>
  <si>
    <t>Units</t>
  </si>
  <si>
    <t>each</t>
  </si>
  <si>
    <t>GB/hour</t>
  </si>
  <si>
    <t>Seconds per month</t>
  </si>
  <si>
    <t>Assmt Creation &amp; Mgmt</t>
  </si>
  <si>
    <t>Category</t>
  </si>
  <si>
    <t>EBS Storage</t>
  </si>
  <si>
    <t>RDS Instance</t>
  </si>
  <si>
    <t>Std EBS Storage</t>
  </si>
  <si>
    <t>Std EBS Storage I/O Requests</t>
  </si>
  <si>
    <t>Std Prov IOPS EBS Storage</t>
  </si>
  <si>
    <t>Std Prov IOPS EBS Storage IOPs</t>
  </si>
  <si>
    <t>DB Prov IOPS EBS Storage</t>
  </si>
  <si>
    <t>DB Prov IOPS EBS Storage IOPs</t>
  </si>
  <si>
    <t>DB Std EBS Storage</t>
  </si>
  <si>
    <t>DB Std EBS Storage I/O Requests</t>
  </si>
  <si>
    <t>DB MultiAZ Prov IOPS EBS Storage</t>
  </si>
  <si>
    <t>DB MultiAZ Prov IOPS EBS Storage IOPs</t>
  </si>
  <si>
    <t>RDS Storage</t>
  </si>
  <si>
    <t>Web Servers (EC2 load balancer and server instances)</t>
  </si>
  <si>
    <t>Web server instance type</t>
  </si>
  <si>
    <t>Database server instance type</t>
  </si>
  <si>
    <t>No DB Server</t>
  </si>
  <si>
    <t>No Web Server</t>
  </si>
  <si>
    <t>Web Server Storage (per instance)</t>
  </si>
  <si>
    <t>Database Storage (single instance)</t>
  </si>
  <si>
    <t>Database Server (single RDS instance)</t>
  </si>
  <si>
    <t>Load balancer</t>
  </si>
  <si>
    <t>Web server</t>
  </si>
  <si>
    <t>Web server storage</t>
  </si>
  <si>
    <t>Database server storage</t>
  </si>
  <si>
    <t>SERVER INPUTS</t>
  </si>
  <si>
    <t>Selected Amazon Availability Zone</t>
  </si>
  <si>
    <t>UNIT COSTS</t>
  </si>
  <si>
    <t>Std S3 Snapshot</t>
  </si>
  <si>
    <t>Std Prov IOPS S3 Snapshot</t>
  </si>
  <si>
    <t>Std EBS Storage (GB)</t>
  </si>
  <si>
    <t>Std EBS Storage I/O Requests (expected avg IOPS/sec)</t>
  </si>
  <si>
    <t>Std S3 Snapshot (GB)</t>
  </si>
  <si>
    <t>Std Prov IOPS EBS Storage (GB)</t>
  </si>
  <si>
    <t>Std Prov IOPS EBS Storage IOPs (IOPS/sec)</t>
  </si>
  <si>
    <t>Std Prov IOPS S3 Snapshot (GB)</t>
  </si>
  <si>
    <t>10^6 I/O Requests</t>
  </si>
  <si>
    <t>Data transfer out</t>
  </si>
  <si>
    <t>Unit costs</t>
  </si>
  <si>
    <t>On-demand web server</t>
  </si>
  <si>
    <t>TOTAL COSTS PER MONTH</t>
  </si>
  <si>
    <t>Days per month</t>
  </si>
  <si>
    <t>Monthly Costs</t>
  </si>
  <si>
    <t>AWS Support Costs</t>
  </si>
  <si>
    <t>Ubuntu Cloud Support Costs</t>
  </si>
  <si>
    <t>AWS Support Tiers</t>
  </si>
  <si>
    <t>Region</t>
  </si>
  <si>
    <t>Table column</t>
  </si>
  <si>
    <t>Ubuntu Support Costs</t>
  </si>
  <si>
    <t>Data Transfer Capacity Overhead</t>
  </si>
  <si>
    <t>On-demand web server weighted utilization</t>
  </si>
  <si>
    <t>On-demand web server utilization</t>
  </si>
  <si>
    <t>Weighted utilization</t>
  </si>
  <si>
    <t>Database overhead</t>
  </si>
  <si>
    <t>CloudWatch Monitoring</t>
  </si>
  <si>
    <t>TOTAL COSTS PER YEAR</t>
  </si>
  <si>
    <t>TEST INTEGRATION &amp; SCORING INFORMATION</t>
  </si>
  <si>
    <t>DB Size</t>
  </si>
  <si>
    <t>GB/hr</t>
  </si>
  <si>
    <t>Provisioned IOPS</t>
  </si>
  <si>
    <t>DB Server size</t>
  </si>
  <si>
    <t>TEST REGISTATION AND ADMINISTRATION INFORMATION</t>
  </si>
  <si>
    <t>Data upload hours per day</t>
  </si>
  <si>
    <t>Data upload days</t>
  </si>
  <si>
    <t>Data Out Component Multiplier (data goes to Data Warehouse, partial data goes to Test Delivery and SSO</t>
  </si>
  <si>
    <t>Data out multiplier (a factor to account for the number of times the data will be resent or the amount of incremental data sent)</t>
  </si>
  <si>
    <t>Number of items</t>
  </si>
  <si>
    <t>Average size of an item in KB</t>
  </si>
  <si>
    <t>Test Package overhead (items are replicated in packages)</t>
  </si>
  <si>
    <t>Item Version Overhead (copy item assets for versioning)</t>
  </si>
  <si>
    <t>size in KB of each authentication</t>
  </si>
  <si>
    <t>Total number of users</t>
  </si>
  <si>
    <t>DB overhead including session storage</t>
  </si>
  <si>
    <t>Maximum number of concurrent students per web server</t>
  </si>
  <si>
    <t>Maximum number of concurrent students</t>
  </si>
  <si>
    <t>Number</t>
  </si>
  <si>
    <t>Number of component groups</t>
  </si>
  <si>
    <t>% concurrent students</t>
  </si>
  <si>
    <t>percent</t>
  </si>
  <si>
    <t>Minimum Test Delivery Database Server Storage</t>
  </si>
  <si>
    <t>STATE INFORMATION</t>
  </si>
  <si>
    <t>This spreadsheet models the hosting costs for a state wishing to deploy the Smarter Balanced open source system. The following assumptions apply:</t>
  </si>
  <si>
    <t>1. Cloud deployment on Amazon Web Services (AWS) is assumed. AWS is selected because it is a ubiquitous, robust and full-featured cloud environment, but vendors are under no obligation to use AWS.</t>
  </si>
  <si>
    <t>2. Deployment units are assumed as described in the accompanying Smarter Balanced Hosting Requirements document. These deployment configurations are preliminary and subject to change.</t>
  </si>
  <si>
    <t>3. AWS pricing is valid as of 9 September 2013. AWS pricing is subject to change without notice.</t>
  </si>
  <si>
    <t xml:space="preserve"> </t>
  </si>
  <si>
    <t>The ratio of concurrent students to total students depends on the length of the testing window and other factors. This ratio is displayed to the right of the green input fields.</t>
  </si>
  <si>
    <t>Minimum Test Integration and Scoring Database Server Storage</t>
  </si>
  <si>
    <t>Minimum Test Registration and Administraton Database Server Storage</t>
  </si>
  <si>
    <t>These inputs provide information about the amount of expected traffic per student and the amount of students a single web server can handle. This is combined with the state information above.</t>
  </si>
  <si>
    <r>
      <t xml:space="preserve">Please enter information in the </t>
    </r>
    <r>
      <rPr>
        <b/>
        <u/>
        <sz val="18"/>
        <color theme="1"/>
        <rFont val="Calibri"/>
        <family val="2"/>
        <scheme val="minor"/>
      </rPr>
      <t>green cells only</t>
    </r>
    <r>
      <rPr>
        <b/>
        <sz val="18"/>
        <color theme="1"/>
        <rFont val="Calibri"/>
        <family val="2"/>
        <scheme val="minor"/>
      </rPr>
      <t>. Information in the white cells automatically recalculate based on other settings</t>
    </r>
  </si>
  <si>
    <t>Average KB of registration information per student</t>
  </si>
  <si>
    <t>Multiplier for users and entities based on students</t>
  </si>
  <si>
    <t>These inputs provide information about the amount of non-student users and data that is required for Test Registration.</t>
  </si>
  <si>
    <t>SSO INFORMATION</t>
  </si>
  <si>
    <t>Due to the critical nature of SSO, it is deployed in its own deployment group separate from any other shared service. The same is true for Monitoring and Alerting.</t>
  </si>
  <si>
    <t>Users</t>
  </si>
  <si>
    <t>Peak authentications/hr</t>
  </si>
  <si>
    <t>Peak authentication per hour as a &amp;% of total users</t>
  </si>
  <si>
    <t>Authentications/hr</t>
  </si>
  <si>
    <t>Minimum Single Sign-On Database Server Storage</t>
  </si>
  <si>
    <t>ASSESSMENT CREATION AND MANAGEMENT INFORMATION</t>
  </si>
  <si>
    <t>If Test Authoring is required in your deployment, select "Yes" otherwise select "No"</t>
  </si>
  <si>
    <t>Yes/No List</t>
  </si>
  <si>
    <t>Yes</t>
  </si>
  <si>
    <t>No</t>
  </si>
  <si>
    <t>Is Test Authoring required in your deployment?</t>
  </si>
  <si>
    <t>4. User input is required about state information such as total and concurrent students and for technological input such as database overhead factors, AWS Availability Zones and instance types.</t>
  </si>
  <si>
    <t>10. The costs calculated by this spreadsheet are strictly cloud-based infrastructure and support contract costs. They do not include staffing costs, management costs or any other incidental costs.</t>
  </si>
  <si>
    <t>5. A single Test Registration and Administration deployment group is assumed here that will support multiple Test Delivery nodes. At this time, we are unsure that one single Test Registration and</t>
  </si>
  <si>
    <t>6. This spreadsheet only encompasses the components being developed by Smarter Balanced Contract 11, Test Delivery System. Additional costs may be incurred by deployment of components from</t>
  </si>
  <si>
    <t>9. The costs provided here are estimates based on the information provided and best information known at the time of writing. Actual results may differ somewhat from these estimates.</t>
  </si>
  <si>
    <t xml:space="preserve">    The validity of the costs calculated by this spreadsheet are dependent on the validity of the inputs provided. Some of these inputs require some knowledge of the AWS infrastructure.</t>
  </si>
  <si>
    <t xml:space="preserve">    Administration deployment group can be scaled sufficiently with AWS cloud resources alone to support a state as large as California.</t>
  </si>
  <si>
    <t xml:space="preserve">    other contracts such Item Authoring and Item Bank (RFP-07), Data Warehouse and Reporting (RFP-15) and Digital Library (RFP-23) that are not represented here.</t>
  </si>
  <si>
    <t>7. In order for a state to deploy Test Delivery, all deployment groups in this spreadsheet are required except Assessment Creation and Management. A means of making thew Assessment</t>
  </si>
  <si>
    <t xml:space="preserve">    Creation and Management deployment group optional is provided for states that do not need this component.</t>
  </si>
  <si>
    <t>8. This spreadsheet is primed with inputs consistent with the State of California as a model, and so assumes a worst-case scenario in terms of scale. Other states should input data specific to their needs.</t>
  </si>
  <si>
    <t>EC2 General Purpose</t>
  </si>
  <si>
    <t>EC2 Compute Optimized</t>
  </si>
  <si>
    <t>EC2 Memory Optimized</t>
  </si>
  <si>
    <t>EC2 Storage Optimized</t>
  </si>
  <si>
    <t>m3.medium (GP)</t>
  </si>
  <si>
    <t>m3.large (GP)</t>
  </si>
  <si>
    <t>m3.xlarge (GP)</t>
  </si>
  <si>
    <t>m3.2xlarge (GP)</t>
  </si>
  <si>
    <t>c3.large (CO)</t>
  </si>
  <si>
    <t>c3.xlarge (CO)</t>
  </si>
  <si>
    <t>c3.2xlarge (CO)</t>
  </si>
  <si>
    <t>c3.4xlarge (CO)</t>
  </si>
  <si>
    <t>c3.8xlarge (CO)</t>
  </si>
  <si>
    <t>r3.large (MO)</t>
  </si>
  <si>
    <t>r3.xlarge (MO)</t>
  </si>
  <si>
    <t>r3.2xlarge (MO)</t>
  </si>
  <si>
    <t>r3.4xlarge (MO)</t>
  </si>
  <si>
    <t>r3.8xlarge (MO)</t>
  </si>
  <si>
    <t>i2.xlarge (SO)</t>
  </si>
  <si>
    <t>i2.2xlarge (SO)</t>
  </si>
  <si>
    <t>i2.4xlarge (SO)</t>
  </si>
  <si>
    <t>i2.8xlarge (SO)</t>
  </si>
  <si>
    <t>db.m3.medium (DB-GP)</t>
  </si>
  <si>
    <t>db.m3.large (DB-GB)</t>
  </si>
  <si>
    <t>db.m3.xlarge (DB-GP)</t>
  </si>
  <si>
    <t>db.m3.2xlarge (DB-GP)</t>
  </si>
  <si>
    <t>db.m2.xl (DB-MO)</t>
  </si>
  <si>
    <t>db.m2.2xl (DB-MO)</t>
  </si>
  <si>
    <t>db.m2.4xl (DB-MO)</t>
  </si>
  <si>
    <t>db.cr1.8xl (DB-MO)</t>
  </si>
  <si>
    <t>db.m3.medium (DB-GP-MZ)</t>
  </si>
  <si>
    <t>db.m3.large (DB-GB-MZ)</t>
  </si>
  <si>
    <t>db.m3.xlarge (DB-GP-MZ)</t>
  </si>
  <si>
    <t>db.m3.2xlarge (DB-GP-MZ)</t>
  </si>
  <si>
    <t>db.m2.xl (DB-MO-MZ)</t>
  </si>
  <si>
    <t>db.m2.2xl (DB-MO-MZ)</t>
  </si>
  <si>
    <t>db.m2.4xl (DB-MO-MZ)</t>
  </si>
  <si>
    <t>db.cr1.8xl (DB-MO-MZ)</t>
  </si>
  <si>
    <t>Smarter Balanced Hosting Requirements Cost Calculation Spreadsheet Version 2</t>
  </si>
  <si>
    <t>Legend</t>
  </si>
  <si>
    <t>GP=General Purpose</t>
  </si>
  <si>
    <t>CO=Compute Optimized</t>
  </si>
  <si>
    <t>MO=Memory Optimized</t>
  </si>
  <si>
    <t>SO=Storage Optimized</t>
  </si>
  <si>
    <t>DB-GP=Database, General Purpose</t>
  </si>
  <si>
    <t>DB-MO=Database, memory Optimized</t>
  </si>
  <si>
    <t>db.m3.large (DB-GP-MZ)</t>
  </si>
  <si>
    <t>DB-GP-MZ=Databse, General Purpose, Multi-Availability Zone</t>
  </si>
  <si>
    <t>DB-MO-MZ=Database, Memory Optimized, Multi-Availability Zone</t>
  </si>
  <si>
    <t>SSO</t>
  </si>
  <si>
    <t>m4.large (GP)</t>
  </si>
  <si>
    <t>m4.xlarge (GP)</t>
  </si>
  <si>
    <t>m4.2xlarge (GP)</t>
  </si>
  <si>
    <t>m4.4xlarge (GP)</t>
  </si>
  <si>
    <t>m4.10xlarge (GP)</t>
  </si>
  <si>
    <t>c4.large (CO)</t>
  </si>
  <si>
    <t>c4.xlarge (CO)</t>
  </si>
  <si>
    <t>c4.2xlarge (CO)</t>
  </si>
  <si>
    <t>c4.4xlarge (CO)</t>
  </si>
  <si>
    <t>c4.8xlarge (CO)</t>
  </si>
  <si>
    <t>db.r3.large (DB-MO)</t>
  </si>
  <si>
    <t>db.r3.xlarge (DB-MO)</t>
  </si>
  <si>
    <t>db.r3.2xlarge (DB-MO)</t>
  </si>
  <si>
    <t>db.r3.4xlarge (DB-MO)</t>
  </si>
  <si>
    <t>db.r3.8xlarge (DB-MO)</t>
  </si>
  <si>
    <t>db.m4.large (DB-GP)</t>
  </si>
  <si>
    <t>db.m4.xlarge (DB-GP)</t>
  </si>
  <si>
    <t>db.m4.2xlarge (DB-GP)</t>
  </si>
  <si>
    <t>db.m4.4xlarge (DB-GP)</t>
  </si>
  <si>
    <t>db.m4.10xlarge (DB-GP)</t>
  </si>
  <si>
    <t>db.r3.large (DB-MO-MZ)</t>
  </si>
  <si>
    <t>db.r3.xlarge (DB-MO-MZ)</t>
  </si>
  <si>
    <t>db.r3.2xlarge (DB-MO-MZ)</t>
  </si>
  <si>
    <t>db.r3.4xlarge (DB-MO-MZ)</t>
  </si>
  <si>
    <t>db.r3.8xlarge (DB-MO-MZ)</t>
  </si>
  <si>
    <t>db.m4.large (DB-GP-MZ)</t>
  </si>
  <si>
    <t>db.m4.xlarge (DB-GP-MZ)</t>
  </si>
  <si>
    <t>db.m4.2xlarge (DB-GP-MZ)</t>
  </si>
  <si>
    <t>db.m4.4xlarge (DB-GP-MZ)</t>
  </si>
  <si>
    <t>db.m4.10xlarge (DB-GP-MZ)</t>
  </si>
  <si>
    <t>Number of Assessment Service pods</t>
  </si>
  <si>
    <t>Number of Config Service pods</t>
  </si>
  <si>
    <t>Number of Exam Service pods</t>
  </si>
  <si>
    <t>Number of Exam Results Transmitter pods</t>
  </si>
  <si>
    <t>Number of Session Service pods</t>
  </si>
  <si>
    <t>Number of Student Service pods</t>
  </si>
  <si>
    <t>Number of Student WAR application pods</t>
  </si>
  <si>
    <t>Number of Proctor WAR application pods</t>
  </si>
  <si>
    <t>Hours per day of environment operation</t>
  </si>
  <si>
    <t>Days per year of environment operation</t>
  </si>
  <si>
    <t>AWS Elasticache Redis Cluster</t>
  </si>
  <si>
    <t>Node type</t>
  </si>
  <si>
    <t>Test Delivery System Configuration</t>
  </si>
  <si>
    <t>Kubernetes Cluster Environment</t>
  </si>
  <si>
    <t>Student WAR Database Server</t>
  </si>
  <si>
    <t>Instance type</t>
  </si>
  <si>
    <t>Student WAR Database Server Storage</t>
  </si>
  <si>
    <t>Worker node instance type</t>
  </si>
  <si>
    <t>Master node instance type</t>
  </si>
  <si>
    <t>Exam Service Database Server</t>
  </si>
  <si>
    <t>Exam Service Database Server Storage</t>
  </si>
  <si>
    <t>Number of assessments loaded into Test Delivery System</t>
  </si>
  <si>
    <t>Average number of items per assessment</t>
  </si>
  <si>
    <t>Databse engine</t>
  </si>
  <si>
    <t>Storage for Assessment Items in MB</t>
  </si>
  <si>
    <t>Elasticach Instance Type</t>
  </si>
  <si>
    <t>No Cache Server</t>
  </si>
  <si>
    <t>Average size of each item on disk in KB</t>
  </si>
  <si>
    <t>cache.t2.micro (GP)</t>
  </si>
  <si>
    <t>cache.t2.small (GP)</t>
  </si>
  <si>
    <t>cache.t2.medium (GP)</t>
  </si>
  <si>
    <t>cache.m3.medium (GP)</t>
  </si>
  <si>
    <t>cache.m3.large (GP)</t>
  </si>
  <si>
    <t>cache.m3.xlarge (GP)</t>
  </si>
  <si>
    <t>cache.m3.2xlarge (GP)</t>
  </si>
  <si>
    <t>cache.m4.large (GP)</t>
  </si>
  <si>
    <t>cache.m4.xlarge (GP)</t>
  </si>
  <si>
    <t>cache.m4.2xlarge (GP)</t>
  </si>
  <si>
    <t>cache.m4.4xlarge (GP)</t>
  </si>
  <si>
    <t>cache.m4.10xlarge (GP)</t>
  </si>
  <si>
    <t>cache.r3.large (MO)</t>
  </si>
  <si>
    <t>cache.r3.xlarge (MO)</t>
  </si>
  <si>
    <t>cache.r3.2xlarge (MO)</t>
  </si>
  <si>
    <t>cache.r3.4xlarge (MO)</t>
  </si>
  <si>
    <t>cache.43.8xlarge (MO)</t>
  </si>
  <si>
    <t>Database Engine List</t>
  </si>
  <si>
    <t>MySQL</t>
  </si>
  <si>
    <t>Aurora</t>
  </si>
  <si>
    <t>Aurora Instance</t>
  </si>
  <si>
    <t>db.t2.small</t>
  </si>
  <si>
    <t>db.t2.medium</t>
  </si>
  <si>
    <t>db.r3.large</t>
  </si>
  <si>
    <t>db.r3.xlarge</t>
  </si>
  <si>
    <t>db.r3.2xlarge</t>
  </si>
  <si>
    <t>db.r3.4xlarge</t>
  </si>
  <si>
    <t>db.r3.8xlarge</t>
  </si>
  <si>
    <t>Maximum number of concurrent students per pod</t>
  </si>
  <si>
    <t>Student WAR</t>
  </si>
  <si>
    <t>Proctor WAR</t>
  </si>
  <si>
    <t>Exam Service</t>
  </si>
  <si>
    <t>Average number of students per IOPS</t>
  </si>
  <si>
    <t>Number of Kubernetes master nodes</t>
  </si>
  <si>
    <t>Number of Kubernetes worker nodes</t>
  </si>
  <si>
    <t>Student DB Server IOPS</t>
  </si>
  <si>
    <t>Exam DB Server IOPS</t>
  </si>
  <si>
    <t>Legacy Number</t>
  </si>
  <si>
    <r>
      <rPr>
        <b/>
        <sz val="11"/>
        <color theme="1"/>
        <rFont val="Calibri"/>
        <family val="2"/>
        <scheme val="minor"/>
      </rPr>
      <t>Note:</t>
    </r>
    <r>
      <rPr>
        <sz val="11"/>
        <color theme="1"/>
        <rFont val="Calibri"/>
        <family val="2"/>
        <scheme val="minor"/>
      </rPr>
      <t xml:space="preserve">  The master and worker nodes are AWS EC2 instances.  Since they are not physical servers, the service pods do not affect cost; they are hosted on the Kuberneetes worker nodes.  The pod quantities are shown to assist with deployment configuration.</t>
    </r>
  </si>
  <si>
    <t>Kubernetes master node</t>
  </si>
  <si>
    <t>Kubernetes worker node</t>
  </si>
  <si>
    <t>Not Applicable</t>
  </si>
  <si>
    <t>Master node EBS storage in GB</t>
  </si>
  <si>
    <t>Worker node EBS storage in GB</t>
  </si>
  <si>
    <t>Master node EBS Storage I/O Requests (expected average IOPS/sec)</t>
  </si>
  <si>
    <t>Worker node EBS Storage I/O Requests (expected average IOPS/sec)</t>
  </si>
  <si>
    <t>Master node S3 Snapshot in GB</t>
  </si>
  <si>
    <t>Worker node S3 Snapshot in GB</t>
  </si>
  <si>
    <t>Master node Provisioned IOPS EBS Storage (GB)</t>
  </si>
  <si>
    <t>Master node Provisioned IOPS EBS Storage IOPS (IOPS/sec)</t>
  </si>
  <si>
    <t>Master node IOPS S3 Snapshot (GB)</t>
  </si>
  <si>
    <t>Worker node Provisioned IOPS EBS Storage (GB)</t>
  </si>
  <si>
    <t>Worker node Provisioned IOPS EBS Storage IOPS (IOPS/sec)</t>
  </si>
  <si>
    <t>Worker node IOPS S3 Snapshot (GB)</t>
  </si>
  <si>
    <t>Student WAR Database server</t>
  </si>
  <si>
    <t>Student WAR Database server storage</t>
  </si>
  <si>
    <t>Exam Database server</t>
  </si>
  <si>
    <t>Exam Database server storage</t>
  </si>
  <si>
    <t>Exam Service Database server</t>
  </si>
  <si>
    <t>Exam Service Database server storage</t>
  </si>
  <si>
    <t>S3 Storage for Assessment Item Content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</si>
</sst>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
    <numFmt numFmtId="165" formatCode="#,##0.0"/>
    <numFmt numFmtId="166" formatCode="0.000%"/>
    <numFmt numFmtId="167" formatCode="0.000000000000%"/>
    <numFmt numFmtId="168" formatCode="[$-409]mmmm\ d\,\ yyyy;@"/>
  </numFmts>
  <fonts count="9" x14ac:knownFonts="1">
    <font>
      <sz val="11"/>
      <color theme="1"/>
      <name val="Calibri"/>
      <family val="2"/>
      <scheme val="minor"/>
    </font>
    <font>
      <b/>
      <sz val="11"/>
      <color theme="1"/>
      <name val="Calibri"/>
      <family val="2"/>
      <scheme val="minor"/>
    </font>
    <font>
      <sz val="11"/>
      <color theme="0" tint="-0.499984740745262"/>
      <name val="Calibri"/>
      <family val="2"/>
      <scheme val="minor"/>
    </font>
    <font>
      <b/>
      <sz val="18"/>
      <color theme="1"/>
      <name val="Calibri"/>
      <family val="2"/>
      <scheme val="minor"/>
    </font>
    <font>
      <sz val="10"/>
      <name val="Arial"/>
      <family val="2"/>
    </font>
    <font>
      <b/>
      <sz val="16"/>
      <color theme="1"/>
      <name val="Calibri"/>
      <family val="2"/>
      <scheme val="minor"/>
    </font>
    <font>
      <b/>
      <u/>
      <sz val="18"/>
      <color theme="1"/>
      <name val="Calibri"/>
      <family val="2"/>
      <scheme val="minor"/>
    </font>
    <font>
      <sz val="11"/>
      <color rgb="FF333333"/>
      <name val="Calibri"/>
      <scheme val="minor"/>
    </font>
    <font>
      <i/>
      <sz val="11"/>
      <color theme="1"/>
      <name val="Calibri"/>
      <scheme val="minor"/>
    </font>
  </fonts>
  <fills count="10">
    <fill>
      <patternFill patternType="none"/>
    </fill>
    <fill>
      <patternFill patternType="gray125"/>
    </fill>
    <fill>
      <patternFill patternType="solid">
        <fgColor theme="6" tint="0.59999389629810485"/>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6337778862885"/>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FFF6B8"/>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2">
    <xf numFmtId="0" fontId="0" fillId="0" borderId="0"/>
    <xf numFmtId="0" fontId="4" fillId="0" borderId="0"/>
  </cellStyleXfs>
  <cellXfs count="113">
    <xf numFmtId="0" fontId="0" fillId="0" borderId="0" xfId="0"/>
    <xf numFmtId="0" fontId="0" fillId="0" borderId="0" xfId="0" applyAlignment="1">
      <alignment horizontal="center"/>
    </xf>
    <xf numFmtId="0" fontId="1" fillId="0" borderId="1" xfId="0" applyFont="1" applyBorder="1"/>
    <xf numFmtId="0" fontId="0" fillId="0" borderId="1" xfId="0" applyBorder="1"/>
    <xf numFmtId="3" fontId="0" fillId="0" borderId="1" xfId="0" applyNumberFormat="1" applyBorder="1"/>
    <xf numFmtId="0" fontId="0" fillId="0" borderId="1" xfId="0" applyFont="1" applyBorder="1"/>
    <xf numFmtId="0" fontId="0" fillId="0" borderId="0" xfId="0" applyBorder="1"/>
    <xf numFmtId="0" fontId="0" fillId="0" borderId="0" xfId="0" applyFill="1" applyBorder="1"/>
    <xf numFmtId="10" fontId="0" fillId="0" borderId="0" xfId="0" applyNumberFormat="1" applyBorder="1"/>
    <xf numFmtId="0" fontId="0" fillId="0" borderId="0" xfId="0" applyFont="1" applyBorder="1"/>
    <xf numFmtId="0" fontId="1" fillId="0" borderId="0" xfId="0" applyFont="1" applyFill="1" applyBorder="1"/>
    <xf numFmtId="0" fontId="0" fillId="0" borderId="0" xfId="0" applyAlignment="1">
      <alignment horizontal="left"/>
    </xf>
    <xf numFmtId="0" fontId="1" fillId="3" borderId="0" xfId="0" applyFont="1" applyFill="1" applyBorder="1"/>
    <xf numFmtId="0" fontId="0" fillId="3" borderId="0" xfId="0" applyFill="1" applyBorder="1"/>
    <xf numFmtId="0" fontId="1" fillId="0" borderId="0" xfId="0" applyFont="1" applyBorder="1" applyAlignment="1">
      <alignment horizontal="center"/>
    </xf>
    <xf numFmtId="0" fontId="0" fillId="0" borderId="0" xfId="0" applyFont="1" applyFill="1" applyBorder="1"/>
    <xf numFmtId="0" fontId="1" fillId="0" borderId="1" xfId="0" applyFont="1" applyBorder="1" applyAlignment="1">
      <alignment horizontal="center"/>
    </xf>
    <xf numFmtId="0" fontId="0" fillId="0" borderId="1" xfId="0" applyBorder="1" applyAlignment="1">
      <alignment horizontal="center"/>
    </xf>
    <xf numFmtId="3" fontId="0" fillId="0" borderId="1" xfId="0" applyNumberFormat="1" applyBorder="1" applyAlignment="1">
      <alignment horizontal="center"/>
    </xf>
    <xf numFmtId="9" fontId="0" fillId="0" borderId="1" xfId="0" applyNumberFormat="1" applyBorder="1" applyAlignment="1">
      <alignment horizontal="center"/>
    </xf>
    <xf numFmtId="164" fontId="0" fillId="0" borderId="1" xfId="0" applyNumberFormat="1" applyBorder="1" applyAlignment="1">
      <alignment horizontal="center"/>
    </xf>
    <xf numFmtId="164" fontId="0" fillId="0" borderId="1" xfId="0" applyNumberFormat="1" applyFont="1" applyBorder="1" applyAlignment="1">
      <alignment horizontal="center"/>
    </xf>
    <xf numFmtId="3" fontId="0" fillId="0" borderId="1" xfId="0" applyNumberFormat="1" applyBorder="1" applyAlignment="1">
      <alignment horizontal="left"/>
    </xf>
    <xf numFmtId="164" fontId="0" fillId="0" borderId="1" xfId="0" applyNumberFormat="1" applyFont="1" applyBorder="1" applyAlignment="1">
      <alignment horizontal="left"/>
    </xf>
    <xf numFmtId="0" fontId="0" fillId="0" borderId="1" xfId="0" applyBorder="1" applyAlignment="1">
      <alignment horizontal="left"/>
    </xf>
    <xf numFmtId="164" fontId="0" fillId="0" borderId="1" xfId="0" applyNumberFormat="1" applyBorder="1" applyAlignment="1">
      <alignment horizontal="left"/>
    </xf>
    <xf numFmtId="0" fontId="0" fillId="2" borderId="1" xfId="0" applyFont="1" applyFill="1" applyBorder="1"/>
    <xf numFmtId="0" fontId="1" fillId="2" borderId="1" xfId="0" applyFont="1" applyFill="1" applyBorder="1" applyAlignment="1">
      <alignment horizontal="center"/>
    </xf>
    <xf numFmtId="3" fontId="1" fillId="2" borderId="1" xfId="0" applyNumberFormat="1" applyFont="1" applyFill="1" applyBorder="1" applyAlignment="1">
      <alignment horizontal="center"/>
    </xf>
    <xf numFmtId="0" fontId="2" fillId="0" borderId="1" xfId="0" applyFont="1" applyBorder="1" applyAlignment="1">
      <alignment horizontal="center"/>
    </xf>
    <xf numFmtId="164" fontId="0" fillId="0" borderId="0" xfId="0" applyNumberFormat="1" applyFont="1" applyBorder="1" applyAlignment="1">
      <alignment horizontal="center"/>
    </xf>
    <xf numFmtId="165" fontId="0" fillId="0" borderId="1" xfId="0" applyNumberFormat="1" applyBorder="1" applyAlignment="1">
      <alignment horizontal="center"/>
    </xf>
    <xf numFmtId="0" fontId="1" fillId="0" borderId="1" xfId="0" applyFont="1" applyFill="1" applyBorder="1"/>
    <xf numFmtId="164" fontId="1" fillId="0" borderId="1" xfId="0" applyNumberFormat="1" applyFont="1" applyBorder="1" applyAlignment="1">
      <alignment horizontal="center"/>
    </xf>
    <xf numFmtId="164" fontId="1" fillId="0" borderId="1" xfId="0" applyNumberFormat="1" applyFont="1" applyFill="1" applyBorder="1" applyAlignment="1">
      <alignment horizontal="center"/>
    </xf>
    <xf numFmtId="0" fontId="0" fillId="0" borderId="1" xfId="0" applyFont="1" applyFill="1" applyBorder="1"/>
    <xf numFmtId="4" fontId="0" fillId="0" borderId="1" xfId="0" applyNumberFormat="1" applyFont="1" applyBorder="1" applyAlignment="1">
      <alignment horizontal="center"/>
    </xf>
    <xf numFmtId="4" fontId="0" fillId="0" borderId="1" xfId="0" applyNumberFormat="1" applyBorder="1" applyAlignment="1">
      <alignment horizontal="center"/>
    </xf>
    <xf numFmtId="4" fontId="0" fillId="0" borderId="2" xfId="0" applyNumberFormat="1" applyFont="1" applyBorder="1" applyAlignment="1">
      <alignment horizontal="center"/>
    </xf>
    <xf numFmtId="4" fontId="0" fillId="0" borderId="3" xfId="0" applyNumberFormat="1" applyFont="1" applyBorder="1" applyAlignment="1">
      <alignment horizontal="center"/>
    </xf>
    <xf numFmtId="4" fontId="0" fillId="0" borderId="4" xfId="0" applyNumberFormat="1" applyFont="1" applyBorder="1" applyAlignment="1">
      <alignment horizontal="center"/>
    </xf>
    <xf numFmtId="3" fontId="1" fillId="2" borderId="1" xfId="0" applyNumberFormat="1" applyFont="1" applyFill="1" applyBorder="1"/>
    <xf numFmtId="0" fontId="0" fillId="2" borderId="1" xfId="0" applyFill="1" applyBorder="1"/>
    <xf numFmtId="9" fontId="1" fillId="2" borderId="1" xfId="0" applyNumberFormat="1" applyFont="1" applyFill="1" applyBorder="1" applyAlignment="1">
      <alignment horizontal="right"/>
    </xf>
    <xf numFmtId="0" fontId="3" fillId="0" borderId="0" xfId="0" applyFont="1" applyBorder="1"/>
    <xf numFmtId="166" fontId="0" fillId="0" borderId="0" xfId="0" applyNumberFormat="1" applyFont="1" applyBorder="1" applyAlignment="1">
      <alignment horizontal="center"/>
    </xf>
    <xf numFmtId="167" fontId="0" fillId="0" borderId="0" xfId="0" applyNumberFormat="1" applyBorder="1"/>
    <xf numFmtId="10" fontId="0" fillId="0" borderId="1" xfId="0" applyNumberFormat="1" applyFont="1" applyBorder="1" applyAlignment="1">
      <alignment horizontal="center"/>
    </xf>
    <xf numFmtId="166" fontId="0" fillId="0" borderId="1" xfId="0" applyNumberFormat="1" applyFont="1" applyBorder="1" applyAlignment="1">
      <alignment horizontal="center"/>
    </xf>
    <xf numFmtId="4" fontId="1" fillId="0" borderId="1" xfId="0" applyNumberFormat="1" applyFont="1" applyBorder="1" applyAlignment="1">
      <alignment horizontal="center"/>
    </xf>
    <xf numFmtId="4" fontId="1" fillId="0" borderId="1" xfId="0" applyNumberFormat="1" applyFont="1" applyFill="1" applyBorder="1" applyAlignment="1">
      <alignment horizontal="center"/>
    </xf>
    <xf numFmtId="4" fontId="0" fillId="0" borderId="0" xfId="0" applyNumberFormat="1" applyFont="1" applyBorder="1" applyAlignment="1">
      <alignment horizontal="center"/>
    </xf>
    <xf numFmtId="4" fontId="0" fillId="0" borderId="0" xfId="0" applyNumberFormat="1" applyBorder="1"/>
    <xf numFmtId="4" fontId="0" fillId="3" borderId="0" xfId="0" applyNumberFormat="1" applyFill="1" applyBorder="1"/>
    <xf numFmtId="9" fontId="1" fillId="2" borderId="1" xfId="0" applyNumberFormat="1" applyFont="1" applyFill="1" applyBorder="1"/>
    <xf numFmtId="0" fontId="0" fillId="2" borderId="1" xfId="0" applyFont="1" applyFill="1" applyBorder="1" applyAlignment="1">
      <alignment vertical="center" wrapText="1"/>
    </xf>
    <xf numFmtId="3" fontId="1" fillId="2" borderId="1" xfId="0" applyNumberFormat="1" applyFont="1" applyFill="1" applyBorder="1" applyAlignment="1">
      <alignment vertical="center"/>
    </xf>
    <xf numFmtId="165" fontId="1" fillId="2" borderId="1" xfId="0" applyNumberFormat="1" applyFont="1" applyFill="1" applyBorder="1" applyAlignment="1">
      <alignment vertical="center"/>
    </xf>
    <xf numFmtId="3" fontId="2" fillId="0" borderId="1" xfId="0" applyNumberFormat="1" applyFont="1" applyBorder="1" applyAlignment="1">
      <alignment horizontal="center"/>
    </xf>
    <xf numFmtId="10" fontId="0" fillId="0" borderId="1" xfId="0" applyNumberFormat="1" applyBorder="1"/>
    <xf numFmtId="3" fontId="0" fillId="0" borderId="0" xfId="0" applyNumberFormat="1" applyBorder="1"/>
    <xf numFmtId="0" fontId="5" fillId="3" borderId="0" xfId="0" applyFont="1" applyFill="1" applyBorder="1"/>
    <xf numFmtId="168" fontId="5" fillId="3" borderId="0" xfId="0" applyNumberFormat="1" applyFont="1" applyFill="1" applyBorder="1" applyAlignment="1">
      <alignment horizontal="left"/>
    </xf>
    <xf numFmtId="3" fontId="1" fillId="2" borderId="1" xfId="0" applyNumberFormat="1" applyFont="1" applyFill="1" applyBorder="1" applyAlignment="1">
      <alignment horizontal="right"/>
    </xf>
    <xf numFmtId="0" fontId="0" fillId="3" borderId="0" xfId="0" applyFont="1" applyFill="1" applyBorder="1" applyAlignment="1">
      <alignment horizontal="left" indent="1"/>
    </xf>
    <xf numFmtId="0" fontId="0" fillId="3" borderId="0" xfId="0" applyFont="1" applyFill="1" applyBorder="1"/>
    <xf numFmtId="0" fontId="1" fillId="0" borderId="0" xfId="0" applyFont="1" applyBorder="1"/>
    <xf numFmtId="164" fontId="0" fillId="4" borderId="1" xfId="0" applyNumberFormat="1" applyFont="1" applyFill="1" applyBorder="1" applyAlignment="1">
      <alignment horizontal="center"/>
    </xf>
    <xf numFmtId="0" fontId="0" fillId="4" borderId="1" xfId="0" applyFill="1" applyBorder="1" applyAlignment="1">
      <alignment horizontal="center"/>
    </xf>
    <xf numFmtId="164" fontId="0" fillId="4" borderId="1" xfId="0" applyNumberFormat="1" applyFill="1" applyBorder="1" applyAlignment="1">
      <alignment horizontal="center"/>
    </xf>
    <xf numFmtId="164" fontId="0" fillId="5" borderId="1" xfId="0" applyNumberFormat="1" applyFont="1" applyFill="1" applyBorder="1" applyAlignment="1">
      <alignment horizontal="center"/>
    </xf>
    <xf numFmtId="0" fontId="1" fillId="0" borderId="0" xfId="0" applyFont="1" applyFill="1" applyBorder="1" applyAlignment="1">
      <alignment horizontal="center"/>
    </xf>
    <xf numFmtId="164" fontId="0" fillId="0" borderId="0" xfId="0" applyNumberFormat="1" applyFont="1" applyFill="1" applyBorder="1" applyAlignment="1">
      <alignment horizontal="center"/>
    </xf>
    <xf numFmtId="0" fontId="0" fillId="0" borderId="0" xfId="0" applyFill="1" applyBorder="1" applyAlignment="1">
      <alignment horizontal="left"/>
    </xf>
    <xf numFmtId="164" fontId="0" fillId="0" borderId="0" xfId="0" applyNumberFormat="1" applyFill="1" applyBorder="1" applyAlignment="1">
      <alignment horizontal="left"/>
    </xf>
    <xf numFmtId="0" fontId="0" fillId="0" borderId="0" xfId="0" applyFill="1" applyBorder="1" applyAlignment="1">
      <alignment horizontal="center"/>
    </xf>
    <xf numFmtId="164" fontId="0" fillId="0" borderId="0" xfId="0" applyNumberFormat="1" applyFill="1" applyBorder="1" applyAlignment="1">
      <alignment horizontal="center"/>
    </xf>
    <xf numFmtId="164" fontId="0" fillId="0" borderId="0" xfId="0" applyNumberFormat="1" applyFont="1" applyFill="1" applyBorder="1" applyAlignment="1">
      <alignment horizontal="left"/>
    </xf>
    <xf numFmtId="3" fontId="2" fillId="0" borderId="0" xfId="0" applyNumberFormat="1" applyFont="1" applyBorder="1" applyAlignment="1">
      <alignment horizontal="center"/>
    </xf>
    <xf numFmtId="0" fontId="0" fillId="6" borderId="1" xfId="0" applyFill="1" applyBorder="1"/>
    <xf numFmtId="0" fontId="1" fillId="6" borderId="1" xfId="0" applyFont="1" applyFill="1" applyBorder="1"/>
    <xf numFmtId="0" fontId="1" fillId="7" borderId="1" xfId="0" applyFont="1" applyFill="1" applyBorder="1"/>
    <xf numFmtId="0" fontId="1" fillId="7" borderId="1" xfId="0" applyFont="1" applyFill="1" applyBorder="1" applyAlignment="1">
      <alignment horizontal="center"/>
    </xf>
    <xf numFmtId="0" fontId="1" fillId="7" borderId="2" xfId="0" applyFont="1" applyFill="1" applyBorder="1"/>
    <xf numFmtId="3" fontId="1" fillId="7" borderId="3" xfId="0" applyNumberFormat="1" applyFont="1" applyFill="1" applyBorder="1" applyAlignment="1">
      <alignment horizontal="center"/>
    </xf>
    <xf numFmtId="3" fontId="1" fillId="7" borderId="4" xfId="0" applyNumberFormat="1" applyFont="1" applyFill="1" applyBorder="1" applyAlignment="1">
      <alignment horizontal="center"/>
    </xf>
    <xf numFmtId="3" fontId="1" fillId="7" borderId="1" xfId="0" applyNumberFormat="1" applyFont="1" applyFill="1" applyBorder="1" applyAlignment="1">
      <alignment horizontal="center"/>
    </xf>
    <xf numFmtId="3" fontId="2" fillId="0" borderId="0" xfId="0" applyNumberFormat="1" applyFont="1" applyFill="1" applyBorder="1" applyAlignment="1">
      <alignment horizontal="center"/>
    </xf>
    <xf numFmtId="3" fontId="1" fillId="0" borderId="0" xfId="0" applyNumberFormat="1" applyFont="1" applyFill="1" applyBorder="1" applyAlignment="1">
      <alignment horizontal="center"/>
    </xf>
    <xf numFmtId="0" fontId="0" fillId="0" borderId="1" xfId="0" applyFont="1" applyBorder="1" applyAlignment="1">
      <alignment horizontal="center"/>
    </xf>
    <xf numFmtId="164" fontId="0" fillId="8" borderId="1" xfId="0" applyNumberFormat="1" applyFont="1" applyFill="1" applyBorder="1" applyAlignment="1">
      <alignment horizontal="center"/>
    </xf>
    <xf numFmtId="164" fontId="0" fillId="0" borderId="1" xfId="0" applyNumberFormat="1" applyFont="1" applyFill="1" applyBorder="1" applyAlignment="1">
      <alignment horizontal="left"/>
    </xf>
    <xf numFmtId="0" fontId="7" fillId="0" borderId="1" xfId="0" applyFont="1" applyBorder="1"/>
    <xf numFmtId="0" fontId="0" fillId="8" borderId="1" xfId="0" applyFill="1" applyBorder="1" applyAlignment="1">
      <alignment horizontal="center"/>
    </xf>
    <xf numFmtId="0" fontId="0" fillId="5" borderId="1" xfId="0" applyFill="1" applyBorder="1" applyAlignment="1">
      <alignment horizontal="center"/>
    </xf>
    <xf numFmtId="0" fontId="0" fillId="8" borderId="1" xfId="0" applyFill="1" applyBorder="1"/>
    <xf numFmtId="0" fontId="0" fillId="5" borderId="1" xfId="0" applyFill="1" applyBorder="1"/>
    <xf numFmtId="0" fontId="0" fillId="0" borderId="1" xfId="0" applyFont="1" applyFill="1" applyBorder="1" applyAlignment="1">
      <alignment horizontal="center"/>
    </xf>
    <xf numFmtId="0" fontId="1" fillId="0" borderId="0" xfId="0" applyFont="1"/>
    <xf numFmtId="0" fontId="1" fillId="0" borderId="0" xfId="0" applyFont="1" applyAlignment="1">
      <alignment horizontal="center"/>
    </xf>
    <xf numFmtId="164" fontId="8" fillId="7" borderId="1" xfId="0" applyNumberFormat="1" applyFont="1" applyFill="1" applyBorder="1" applyAlignment="1">
      <alignment horizontal="center"/>
    </xf>
    <xf numFmtId="4" fontId="8" fillId="7" borderId="1" xfId="0" applyNumberFormat="1" applyFont="1" applyFill="1" applyBorder="1" applyAlignment="1">
      <alignment horizontal="center"/>
    </xf>
    <xf numFmtId="164" fontId="0" fillId="0" borderId="1" xfId="0" applyNumberFormat="1" applyFont="1" applyFill="1" applyBorder="1" applyAlignment="1">
      <alignment horizontal="center"/>
    </xf>
    <xf numFmtId="0" fontId="0" fillId="0" borderId="0" xfId="0" applyFill="1" applyBorder="1" applyAlignment="1">
      <alignment vertical="top" wrapText="1"/>
    </xf>
    <xf numFmtId="4" fontId="0" fillId="0" borderId="1" xfId="0" applyNumberFormat="1" applyFont="1" applyFill="1" applyBorder="1" applyAlignment="1">
      <alignment horizontal="center"/>
    </xf>
    <xf numFmtId="0" fontId="0" fillId="9" borderId="6" xfId="0" applyFill="1" applyBorder="1" applyAlignment="1">
      <alignment vertical="top" wrapText="1"/>
    </xf>
    <xf numFmtId="0" fontId="0" fillId="9" borderId="7" xfId="0" applyFill="1" applyBorder="1" applyAlignment="1">
      <alignment vertical="top" wrapText="1"/>
    </xf>
    <xf numFmtId="0" fontId="0" fillId="9" borderId="5" xfId="0" applyFill="1" applyBorder="1" applyAlignment="1">
      <alignment vertical="top" wrapText="1"/>
    </xf>
    <xf numFmtId="0" fontId="0" fillId="9" borderId="8" xfId="0" applyFill="1" applyBorder="1" applyAlignment="1">
      <alignment vertical="top" wrapText="1"/>
    </xf>
    <xf numFmtId="0" fontId="0" fillId="9" borderId="9" xfId="0" applyFill="1" applyBorder="1" applyAlignment="1">
      <alignment vertical="top" wrapText="1"/>
    </xf>
    <xf numFmtId="0" fontId="0" fillId="9" borderId="10" xfId="0" applyFill="1" applyBorder="1" applyAlignment="1">
      <alignment vertical="top" wrapText="1"/>
    </xf>
    <xf numFmtId="0" fontId="1" fillId="7" borderId="2" xfId="0" applyFont="1" applyFill="1" applyBorder="1"/>
    <xf numFmtId="0" fontId="1" fillId="7" borderId="4" xfId="0" applyFont="1" applyFill="1" applyBorder="1"/>
  </cellXfs>
  <cellStyles count="2">
    <cellStyle name="Normal" xfId="0" builtinId="0"/>
    <cellStyle name="Normal 2" xfId="1"/>
  </cellStyles>
  <dxfs count="0"/>
  <tableStyles count="0" defaultTableStyle="TableStyleMedium2" defaultPivotStyle="PivotStyleLight16"/>
  <colors>
    <mruColors>
      <color rgb="FFFFF6B8"/>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1:J233"/>
  <sheetViews>
    <sheetView tabSelected="1" topLeftCell="A37" workbookViewId="0">
      <selection activeCell="B148" sqref="B148"/>
    </sheetView>
  </sheetViews>
  <sheetFormatPr baseColWidth="10" defaultColWidth="9.1640625" defaultRowHeight="15" x14ac:dyDescent="0.2"/>
  <cols>
    <col min="1" max="1" width="58.33203125" style="6" customWidth="1"/>
    <col min="2" max="2" width="32.1640625" style="6" bestFit="1" customWidth="1"/>
    <col min="3" max="3" width="23.5" style="6" bestFit="1" customWidth="1"/>
    <col min="4" max="8" width="24.5" style="6" bestFit="1" customWidth="1"/>
    <col min="9" max="9" width="24" style="6" bestFit="1" customWidth="1"/>
    <col min="10" max="10" width="20.6640625" style="6" bestFit="1" customWidth="1"/>
    <col min="11" max="16384" width="9.1640625" style="6"/>
  </cols>
  <sheetData>
    <row r="1" spans="1:9" ht="21" x14ac:dyDescent="0.25">
      <c r="A1" s="61" t="s">
        <v>202</v>
      </c>
      <c r="B1" s="13"/>
      <c r="C1" s="13"/>
      <c r="D1" s="13"/>
      <c r="E1" s="13"/>
      <c r="F1" s="13"/>
      <c r="G1" s="13"/>
      <c r="H1" s="13"/>
      <c r="I1" s="13"/>
    </row>
    <row r="2" spans="1:9" ht="21" x14ac:dyDescent="0.25">
      <c r="A2" s="62">
        <v>41728</v>
      </c>
      <c r="B2" s="13"/>
      <c r="C2" s="13"/>
      <c r="D2" s="13"/>
      <c r="E2" s="13"/>
      <c r="F2" s="13"/>
      <c r="G2" s="13"/>
      <c r="H2" s="13"/>
      <c r="I2" s="13"/>
    </row>
    <row r="3" spans="1:9" x14ac:dyDescent="0.2">
      <c r="A3" s="12"/>
      <c r="B3" s="13"/>
      <c r="C3" s="13"/>
      <c r="D3" s="13"/>
      <c r="E3" s="13"/>
      <c r="F3" s="13"/>
      <c r="G3" s="13"/>
      <c r="H3" s="13"/>
      <c r="I3" s="13"/>
    </row>
    <row r="4" spans="1:9" x14ac:dyDescent="0.2">
      <c r="A4" s="65" t="s">
        <v>127</v>
      </c>
      <c r="B4" s="13"/>
      <c r="C4" s="13"/>
      <c r="D4" s="13"/>
      <c r="E4" s="13"/>
      <c r="F4" s="13"/>
      <c r="G4" s="13"/>
      <c r="H4" s="13"/>
      <c r="I4" s="13"/>
    </row>
    <row r="5" spans="1:9" x14ac:dyDescent="0.2">
      <c r="A5" s="12"/>
      <c r="B5" s="13"/>
      <c r="C5" s="13"/>
      <c r="D5" s="13"/>
      <c r="E5" s="13"/>
      <c r="F5" s="13"/>
      <c r="G5" s="13"/>
      <c r="H5" s="13"/>
      <c r="I5" s="13"/>
    </row>
    <row r="6" spans="1:9" x14ac:dyDescent="0.2">
      <c r="A6" s="64" t="s">
        <v>128</v>
      </c>
      <c r="B6" s="13"/>
      <c r="C6" s="13"/>
      <c r="D6" s="13"/>
      <c r="E6" s="13"/>
      <c r="F6" s="13"/>
      <c r="G6" s="13"/>
      <c r="H6" s="13"/>
      <c r="I6" s="13"/>
    </row>
    <row r="7" spans="1:9" x14ac:dyDescent="0.2">
      <c r="A7" s="64" t="s">
        <v>129</v>
      </c>
      <c r="B7" s="13"/>
      <c r="C7" s="13"/>
      <c r="D7" s="13"/>
      <c r="E7" s="13"/>
      <c r="F7" s="13"/>
      <c r="G7" s="13"/>
      <c r="H7" s="13"/>
      <c r="I7" s="13"/>
    </row>
    <row r="8" spans="1:9" x14ac:dyDescent="0.2">
      <c r="A8" s="64" t="s">
        <v>130</v>
      </c>
      <c r="B8" s="13"/>
      <c r="C8" s="13"/>
      <c r="D8" s="13"/>
      <c r="E8" s="13"/>
      <c r="F8" s="13"/>
      <c r="G8" s="13"/>
      <c r="H8" s="13"/>
      <c r="I8" s="13"/>
    </row>
    <row r="9" spans="1:9" x14ac:dyDescent="0.2">
      <c r="A9" s="64" t="s">
        <v>153</v>
      </c>
      <c r="B9" s="13"/>
      <c r="C9" s="13"/>
      <c r="D9" s="13"/>
      <c r="E9" s="13"/>
      <c r="F9" s="13"/>
      <c r="G9" s="13"/>
      <c r="H9" s="13"/>
      <c r="I9" s="13"/>
    </row>
    <row r="10" spans="1:9" x14ac:dyDescent="0.2">
      <c r="A10" s="64" t="s">
        <v>158</v>
      </c>
      <c r="B10" s="13"/>
      <c r="C10" s="13"/>
      <c r="D10" s="13"/>
      <c r="E10" s="13"/>
      <c r="F10" s="13"/>
      <c r="G10" s="13"/>
      <c r="H10" s="13"/>
      <c r="I10" s="13"/>
    </row>
    <row r="11" spans="1:9" x14ac:dyDescent="0.2">
      <c r="A11" s="64" t="s">
        <v>155</v>
      </c>
      <c r="B11" s="13"/>
      <c r="C11" s="13"/>
      <c r="D11" s="13"/>
      <c r="E11" s="13"/>
      <c r="F11" s="13"/>
      <c r="G11" s="13"/>
      <c r="H11" s="13"/>
      <c r="I11" s="13"/>
    </row>
    <row r="12" spans="1:9" x14ac:dyDescent="0.2">
      <c r="A12" s="64" t="s">
        <v>159</v>
      </c>
      <c r="B12" s="13"/>
      <c r="C12" s="13"/>
      <c r="D12" s="13"/>
      <c r="E12" s="13"/>
      <c r="F12" s="13"/>
      <c r="G12" s="13"/>
      <c r="H12" s="13"/>
      <c r="I12" s="13"/>
    </row>
    <row r="13" spans="1:9" x14ac:dyDescent="0.2">
      <c r="A13" s="64" t="s">
        <v>156</v>
      </c>
      <c r="B13" s="13"/>
      <c r="C13" s="13"/>
      <c r="D13" s="13"/>
      <c r="E13" s="13"/>
      <c r="F13" s="13"/>
      <c r="G13" s="13"/>
      <c r="H13" s="13"/>
      <c r="I13" s="13"/>
    </row>
    <row r="14" spans="1:9" x14ac:dyDescent="0.2">
      <c r="A14" s="64" t="s">
        <v>160</v>
      </c>
      <c r="B14" s="13"/>
      <c r="C14" s="13"/>
      <c r="D14" s="13"/>
      <c r="E14" s="13"/>
      <c r="F14" s="13"/>
      <c r="G14" s="13"/>
      <c r="H14" s="13"/>
      <c r="I14" s="13"/>
    </row>
    <row r="15" spans="1:9" x14ac:dyDescent="0.2">
      <c r="A15" s="64" t="s">
        <v>161</v>
      </c>
      <c r="B15" s="13"/>
      <c r="C15" s="13"/>
      <c r="D15" s="13"/>
      <c r="E15" s="13"/>
      <c r="F15" s="13"/>
      <c r="G15" s="13"/>
      <c r="H15" s="13"/>
      <c r="I15" s="13"/>
    </row>
    <row r="16" spans="1:9" x14ac:dyDescent="0.2">
      <c r="A16" s="64" t="s">
        <v>162</v>
      </c>
      <c r="B16" s="13"/>
      <c r="C16" s="13"/>
      <c r="D16" s="13"/>
      <c r="E16" s="13"/>
      <c r="F16" s="13"/>
      <c r="G16" s="13"/>
      <c r="H16" s="13"/>
      <c r="I16" s="13"/>
    </row>
    <row r="17" spans="1:9" x14ac:dyDescent="0.2">
      <c r="A17" s="64" t="s">
        <v>163</v>
      </c>
      <c r="B17" s="13"/>
      <c r="C17" s="13"/>
      <c r="D17" s="13"/>
      <c r="E17" s="13"/>
      <c r="F17" s="13"/>
      <c r="G17" s="13"/>
      <c r="H17" s="13"/>
      <c r="I17" s="13"/>
    </row>
    <row r="18" spans="1:9" x14ac:dyDescent="0.2">
      <c r="A18" s="64" t="s">
        <v>157</v>
      </c>
      <c r="B18" s="13"/>
      <c r="C18" s="13"/>
      <c r="D18" s="13"/>
      <c r="E18" s="13"/>
      <c r="F18" s="13"/>
      <c r="G18" s="13"/>
      <c r="H18" s="13"/>
      <c r="I18" s="13"/>
    </row>
    <row r="19" spans="1:9" x14ac:dyDescent="0.2">
      <c r="A19" s="64" t="s">
        <v>154</v>
      </c>
      <c r="B19" s="13"/>
      <c r="C19" s="13"/>
      <c r="D19" s="13"/>
      <c r="E19" s="13"/>
      <c r="F19" s="13"/>
      <c r="G19" s="13"/>
      <c r="H19" s="13"/>
      <c r="I19" s="13"/>
    </row>
    <row r="20" spans="1:9" x14ac:dyDescent="0.2">
      <c r="A20" s="12"/>
      <c r="B20" s="13"/>
      <c r="C20" s="13"/>
      <c r="D20" s="13"/>
      <c r="E20" s="13"/>
      <c r="F20" s="13"/>
      <c r="G20" s="13"/>
      <c r="H20" s="13"/>
      <c r="I20" s="13"/>
    </row>
    <row r="22" spans="1:9" ht="24" x14ac:dyDescent="0.3">
      <c r="A22" s="44" t="s">
        <v>136</v>
      </c>
    </row>
    <row r="24" spans="1:9" x14ac:dyDescent="0.2">
      <c r="A24" s="12" t="s">
        <v>126</v>
      </c>
      <c r="B24" s="13"/>
      <c r="C24" s="13"/>
      <c r="D24" s="13"/>
      <c r="E24" s="13"/>
      <c r="F24" s="13"/>
      <c r="G24" s="13"/>
      <c r="H24" s="13"/>
      <c r="I24" s="13"/>
    </row>
    <row r="25" spans="1:9" x14ac:dyDescent="0.2">
      <c r="A25" s="12" t="s">
        <v>132</v>
      </c>
      <c r="B25" s="13"/>
      <c r="C25" s="13"/>
      <c r="D25" s="13"/>
      <c r="E25" s="13"/>
      <c r="F25" s="13"/>
      <c r="G25" s="13"/>
      <c r="H25" s="13"/>
      <c r="I25" s="13"/>
    </row>
    <row r="27" spans="1:9" x14ac:dyDescent="0.2">
      <c r="A27" s="26" t="s">
        <v>4</v>
      </c>
      <c r="B27" s="41">
        <v>3400000</v>
      </c>
    </row>
    <row r="28" spans="1:9" x14ac:dyDescent="0.2">
      <c r="A28" s="26" t="s">
        <v>5</v>
      </c>
      <c r="B28" s="41">
        <v>265229</v>
      </c>
      <c r="D28" s="3" t="s">
        <v>123</v>
      </c>
      <c r="E28" s="59">
        <f>B28/B27</f>
        <v>7.8008529411764713E-2</v>
      </c>
      <c r="F28" s="3" t="s">
        <v>124</v>
      </c>
    </row>
    <row r="29" spans="1:9" x14ac:dyDescent="0.2">
      <c r="C29" s="7"/>
      <c r="D29" s="8"/>
      <c r="E29" s="8"/>
    </row>
    <row r="30" spans="1:9" x14ac:dyDescent="0.2">
      <c r="A30" s="12" t="s">
        <v>32</v>
      </c>
      <c r="B30" s="13"/>
      <c r="C30" s="13"/>
      <c r="D30" s="13"/>
      <c r="E30" s="13"/>
      <c r="F30" s="13"/>
      <c r="G30" s="13" t="s">
        <v>131</v>
      </c>
      <c r="H30" s="13"/>
      <c r="I30" s="13"/>
    </row>
    <row r="31" spans="1:9" x14ac:dyDescent="0.2">
      <c r="A31" s="12" t="s">
        <v>135</v>
      </c>
      <c r="B31" s="13"/>
      <c r="C31" s="13"/>
      <c r="D31" s="13"/>
      <c r="E31" s="13"/>
      <c r="F31" s="13"/>
      <c r="G31" s="13" t="s">
        <v>131</v>
      </c>
      <c r="H31" s="13"/>
      <c r="I31" s="13"/>
    </row>
    <row r="32" spans="1:9" x14ac:dyDescent="0.2">
      <c r="C32" s="7"/>
    </row>
    <row r="33" spans="1:9" x14ac:dyDescent="0.2">
      <c r="A33" s="79" t="s">
        <v>265</v>
      </c>
      <c r="B33" s="80">
        <v>50</v>
      </c>
      <c r="C33" s="7"/>
    </row>
    <row r="34" spans="1:9" x14ac:dyDescent="0.2">
      <c r="A34" s="79" t="s">
        <v>266</v>
      </c>
      <c r="B34" s="80">
        <v>20</v>
      </c>
      <c r="C34" s="7"/>
    </row>
    <row r="35" spans="1:9" x14ac:dyDescent="0.2">
      <c r="A35" s="79" t="s">
        <v>271</v>
      </c>
      <c r="B35" s="80">
        <v>800</v>
      </c>
      <c r="C35" s="7"/>
    </row>
    <row r="36" spans="1:9" x14ac:dyDescent="0.2">
      <c r="A36" s="26" t="s">
        <v>2</v>
      </c>
      <c r="B36" s="41">
        <v>20</v>
      </c>
      <c r="D36" s="3" t="s">
        <v>106</v>
      </c>
      <c r="E36" s="4">
        <f>MAX(E37/10,MinTDStorage)</f>
        <v>500</v>
      </c>
      <c r="F36" s="3" t="s">
        <v>37</v>
      </c>
    </row>
    <row r="37" spans="1:9" x14ac:dyDescent="0.2">
      <c r="A37" s="26" t="s">
        <v>3</v>
      </c>
      <c r="B37" s="41">
        <v>20</v>
      </c>
      <c r="D37" s="3" t="s">
        <v>307</v>
      </c>
      <c r="E37" s="4">
        <f>MAX(100,B28/AverageStudentsPerIops)</f>
        <v>884.09666666666669</v>
      </c>
      <c r="F37" s="3" t="s">
        <v>105</v>
      </c>
    </row>
    <row r="38" spans="1:9" x14ac:dyDescent="0.2">
      <c r="A38" s="42" t="s">
        <v>119</v>
      </c>
      <c r="B38" s="41">
        <v>8000</v>
      </c>
      <c r="D38" s="3" t="s">
        <v>308</v>
      </c>
      <c r="E38" s="3">
        <f>CEILING(MAX(100,B28/AverageStudentsPerIops * 2.5), 1)</f>
        <v>2211</v>
      </c>
      <c r="F38" s="3" t="s">
        <v>105</v>
      </c>
    </row>
    <row r="40" spans="1:9" ht="13.5" customHeight="1" x14ac:dyDescent="0.2">
      <c r="B40" s="9"/>
    </row>
    <row r="41" spans="1:9" x14ac:dyDescent="0.2">
      <c r="A41" s="12" t="s">
        <v>102</v>
      </c>
      <c r="B41" s="13"/>
      <c r="C41" s="13"/>
      <c r="D41" s="13"/>
      <c r="E41" s="13"/>
      <c r="F41" s="13"/>
      <c r="G41" s="13"/>
      <c r="H41" s="13"/>
      <c r="I41" s="13"/>
    </row>
    <row r="42" spans="1:9" x14ac:dyDescent="0.2">
      <c r="B42" s="9"/>
    </row>
    <row r="43" spans="1:9" x14ac:dyDescent="0.2">
      <c r="A43" s="26" t="s">
        <v>112</v>
      </c>
      <c r="B43" s="41">
        <v>200000</v>
      </c>
      <c r="D43" s="3" t="s">
        <v>103</v>
      </c>
      <c r="E43" s="3">
        <f>MAX(CEILING(B43*B45*B44*B46*(100%+B47)/1024^2,1),MinTISStorage)</f>
        <v>239</v>
      </c>
      <c r="F43" s="3" t="s">
        <v>37</v>
      </c>
    </row>
    <row r="44" spans="1:9" x14ac:dyDescent="0.2">
      <c r="A44" s="26" t="s">
        <v>113</v>
      </c>
      <c r="B44" s="41">
        <v>20</v>
      </c>
    </row>
    <row r="45" spans="1:9" x14ac:dyDescent="0.2">
      <c r="A45" s="42" t="s">
        <v>115</v>
      </c>
      <c r="B45" s="41">
        <v>5</v>
      </c>
    </row>
    <row r="46" spans="1:9" x14ac:dyDescent="0.2">
      <c r="A46" s="42" t="s">
        <v>114</v>
      </c>
      <c r="B46" s="41">
        <v>10</v>
      </c>
    </row>
    <row r="47" spans="1:9" x14ac:dyDescent="0.2">
      <c r="A47" s="42" t="s">
        <v>99</v>
      </c>
      <c r="B47" s="54">
        <v>0.25</v>
      </c>
    </row>
    <row r="48" spans="1:9" x14ac:dyDescent="0.2">
      <c r="B48" s="9"/>
    </row>
    <row r="49" spans="1:9" x14ac:dyDescent="0.2">
      <c r="A49" s="12" t="s">
        <v>107</v>
      </c>
      <c r="B49" s="13"/>
      <c r="C49" s="13"/>
      <c r="D49" s="13"/>
      <c r="E49" s="13"/>
      <c r="F49" s="13"/>
      <c r="G49" s="13"/>
      <c r="H49" s="13"/>
      <c r="I49" s="13"/>
    </row>
    <row r="50" spans="1:9" x14ac:dyDescent="0.2">
      <c r="A50" s="12" t="s">
        <v>139</v>
      </c>
      <c r="B50" s="13"/>
      <c r="C50" s="13"/>
      <c r="D50" s="13"/>
      <c r="E50" s="13"/>
      <c r="F50" s="13"/>
      <c r="G50" s="13"/>
      <c r="H50" s="13"/>
      <c r="I50" s="13"/>
    </row>
    <row r="51" spans="1:9" x14ac:dyDescent="0.2">
      <c r="B51" s="9"/>
    </row>
    <row r="52" spans="1:9" x14ac:dyDescent="0.2">
      <c r="A52" s="26" t="s">
        <v>137</v>
      </c>
      <c r="B52" s="41">
        <v>50</v>
      </c>
      <c r="D52" s="3" t="s">
        <v>15</v>
      </c>
      <c r="E52" s="3">
        <f>CEILING(B27*B52*(100%+B53)*(100%+B54)*((B55*B56)/(24*365))*B57*B58/1025^2,1)</f>
        <v>92</v>
      </c>
      <c r="F52" s="3" t="s">
        <v>104</v>
      </c>
    </row>
    <row r="53" spans="1:9" x14ac:dyDescent="0.2">
      <c r="A53" s="26" t="s">
        <v>138</v>
      </c>
      <c r="B53" s="54">
        <v>0.25</v>
      </c>
      <c r="D53" s="3" t="s">
        <v>103</v>
      </c>
      <c r="E53" s="3">
        <f>MAX(CEILING(B27*B52*(100%+B53)*(100%+B54)/1024^2,1),MinTRAStorage)</f>
        <v>254</v>
      </c>
      <c r="F53" s="3" t="s">
        <v>37</v>
      </c>
    </row>
    <row r="54" spans="1:9" x14ac:dyDescent="0.2">
      <c r="A54" s="42" t="s">
        <v>99</v>
      </c>
      <c r="B54" s="54">
        <v>0.25</v>
      </c>
    </row>
    <row r="55" spans="1:9" x14ac:dyDescent="0.2">
      <c r="A55" s="26" t="s">
        <v>108</v>
      </c>
      <c r="B55" s="41">
        <v>6</v>
      </c>
    </row>
    <row r="56" spans="1:9" x14ac:dyDescent="0.2">
      <c r="A56" s="26" t="s">
        <v>109</v>
      </c>
      <c r="B56" s="41">
        <v>60</v>
      </c>
    </row>
    <row r="57" spans="1:9" ht="46.5" customHeight="1" x14ac:dyDescent="0.2">
      <c r="A57" s="55" t="s">
        <v>111</v>
      </c>
      <c r="B57" s="56">
        <v>4</v>
      </c>
    </row>
    <row r="58" spans="1:9" ht="30" x14ac:dyDescent="0.2">
      <c r="A58" s="55" t="s">
        <v>110</v>
      </c>
      <c r="B58" s="57">
        <v>2.2000000000000002</v>
      </c>
    </row>
    <row r="59" spans="1:9" x14ac:dyDescent="0.2">
      <c r="B59" s="9"/>
    </row>
    <row r="60" spans="1:9" x14ac:dyDescent="0.2">
      <c r="A60" s="12" t="s">
        <v>140</v>
      </c>
      <c r="B60" s="13"/>
      <c r="C60" s="13"/>
      <c r="D60" s="13"/>
      <c r="E60" s="13"/>
      <c r="F60" s="13"/>
      <c r="G60" s="13"/>
      <c r="H60" s="13"/>
      <c r="I60" s="13"/>
    </row>
    <row r="61" spans="1:9" x14ac:dyDescent="0.2">
      <c r="A61" s="12" t="s">
        <v>141</v>
      </c>
      <c r="B61" s="13"/>
      <c r="C61" s="13"/>
      <c r="D61" s="13"/>
      <c r="E61" s="13"/>
      <c r="F61" s="13"/>
      <c r="G61" s="13"/>
      <c r="H61" s="13"/>
      <c r="I61" s="13"/>
    </row>
    <row r="62" spans="1:9" x14ac:dyDescent="0.2">
      <c r="B62" s="9"/>
    </row>
    <row r="63" spans="1:9" x14ac:dyDescent="0.2">
      <c r="A63" s="42" t="s">
        <v>144</v>
      </c>
      <c r="B63" s="54">
        <v>0.25</v>
      </c>
      <c r="D63" s="3" t="s">
        <v>117</v>
      </c>
      <c r="E63" s="4">
        <f>B27*B53</f>
        <v>850000</v>
      </c>
      <c r="F63" s="3" t="s">
        <v>142</v>
      </c>
    </row>
    <row r="64" spans="1:9" x14ac:dyDescent="0.2">
      <c r="A64" s="26" t="s">
        <v>116</v>
      </c>
      <c r="B64" s="41">
        <v>50</v>
      </c>
      <c r="D64" s="3" t="s">
        <v>143</v>
      </c>
      <c r="E64" s="4">
        <f>B63*E63</f>
        <v>212500</v>
      </c>
      <c r="F64" s="3" t="s">
        <v>145</v>
      </c>
    </row>
    <row r="65" spans="1:9" x14ac:dyDescent="0.2">
      <c r="A65" s="42" t="s">
        <v>118</v>
      </c>
      <c r="B65" s="54">
        <v>0.5</v>
      </c>
      <c r="D65" s="3" t="s">
        <v>15</v>
      </c>
      <c r="E65" s="3">
        <f>CEILING(E64*B64/1025^2,1)</f>
        <v>11</v>
      </c>
      <c r="F65" s="3" t="s">
        <v>104</v>
      </c>
    </row>
    <row r="66" spans="1:9" x14ac:dyDescent="0.2">
      <c r="D66" s="3" t="s">
        <v>103</v>
      </c>
      <c r="E66" s="3">
        <f>MAX(CEILING(E63*B64*(100%+B65)/1024^2,1),MinSSOStorage)</f>
        <v>61</v>
      </c>
      <c r="F66" s="3" t="s">
        <v>37</v>
      </c>
    </row>
    <row r="68" spans="1:9" x14ac:dyDescent="0.2">
      <c r="A68" s="12" t="s">
        <v>147</v>
      </c>
      <c r="B68" s="13"/>
      <c r="C68" s="13"/>
      <c r="D68" s="13"/>
      <c r="E68" s="13"/>
      <c r="F68" s="13"/>
      <c r="G68" s="13"/>
      <c r="H68" s="13"/>
      <c r="I68" s="13"/>
    </row>
    <row r="69" spans="1:9" x14ac:dyDescent="0.2">
      <c r="A69" s="12" t="s">
        <v>148</v>
      </c>
      <c r="B69" s="13"/>
      <c r="C69" s="13"/>
      <c r="D69" s="13"/>
      <c r="E69" s="13"/>
      <c r="F69" s="13"/>
      <c r="G69" s="13"/>
      <c r="H69" s="13"/>
      <c r="I69" s="13"/>
    </row>
    <row r="71" spans="1:9" x14ac:dyDescent="0.2">
      <c r="A71" s="26" t="s">
        <v>152</v>
      </c>
      <c r="B71" s="63" t="s">
        <v>150</v>
      </c>
    </row>
    <row r="73" spans="1:9" x14ac:dyDescent="0.2">
      <c r="A73" s="12" t="s">
        <v>71</v>
      </c>
      <c r="B73" s="13"/>
      <c r="C73" s="13"/>
      <c r="D73" s="13"/>
      <c r="E73" s="13"/>
      <c r="F73" s="13"/>
      <c r="G73" s="13"/>
      <c r="H73" s="13"/>
      <c r="I73" s="13"/>
    </row>
    <row r="74" spans="1:9" x14ac:dyDescent="0.2">
      <c r="B74" s="9"/>
    </row>
    <row r="75" spans="1:9" x14ac:dyDescent="0.2">
      <c r="A75" s="26" t="s">
        <v>72</v>
      </c>
      <c r="B75" s="43" t="s">
        <v>16</v>
      </c>
    </row>
    <row r="76" spans="1:9" x14ac:dyDescent="0.2">
      <c r="A76" s="26" t="s">
        <v>95</v>
      </c>
      <c r="B76" s="43">
        <v>0.25</v>
      </c>
      <c r="C76" s="14"/>
    </row>
    <row r="77" spans="1:9" x14ac:dyDescent="0.2">
      <c r="A77" s="10"/>
    </row>
    <row r="78" spans="1:9" x14ac:dyDescent="0.2">
      <c r="A78" s="81" t="s">
        <v>59</v>
      </c>
      <c r="B78" s="82" t="s">
        <v>10</v>
      </c>
      <c r="C78" s="82" t="s">
        <v>11</v>
      </c>
      <c r="D78" s="82" t="s">
        <v>213</v>
      </c>
      <c r="E78" s="82" t="s">
        <v>13</v>
      </c>
      <c r="F78" s="82" t="s">
        <v>7</v>
      </c>
      <c r="G78" s="82" t="s">
        <v>44</v>
      </c>
    </row>
    <row r="79" spans="1:9" x14ac:dyDescent="0.2">
      <c r="A79" s="26" t="s">
        <v>122</v>
      </c>
      <c r="B79" s="29">
        <f>CEILING(B28/MaxConcurrentStudentsLegacy,1)</f>
        <v>6</v>
      </c>
      <c r="C79" s="29">
        <v>1</v>
      </c>
      <c r="D79" s="29">
        <v>1</v>
      </c>
      <c r="E79" s="29">
        <v>1</v>
      </c>
      <c r="F79" s="29">
        <v>1</v>
      </c>
      <c r="G79" s="29">
        <v>1</v>
      </c>
      <c r="I79" s="60"/>
    </row>
    <row r="80" spans="1:9" x14ac:dyDescent="0.2">
      <c r="A80" s="26" t="s">
        <v>9</v>
      </c>
      <c r="B80" s="28">
        <v>1</v>
      </c>
      <c r="C80" s="28">
        <v>1</v>
      </c>
      <c r="D80" s="28">
        <v>2</v>
      </c>
      <c r="E80" s="28"/>
      <c r="F80" s="28">
        <v>1</v>
      </c>
      <c r="G80" s="28">
        <v>1</v>
      </c>
    </row>
    <row r="81" spans="1:8" x14ac:dyDescent="0.2">
      <c r="A81" s="26" t="s">
        <v>33</v>
      </c>
      <c r="B81" s="28">
        <v>1</v>
      </c>
      <c r="C81" s="29">
        <f>E52</f>
        <v>92</v>
      </c>
      <c r="D81" s="29">
        <f>E65</f>
        <v>11</v>
      </c>
      <c r="E81" s="28">
        <v>1</v>
      </c>
      <c r="F81" s="28">
        <v>1</v>
      </c>
      <c r="G81" s="28">
        <v>5</v>
      </c>
    </row>
    <row r="82" spans="1:8" x14ac:dyDescent="0.2">
      <c r="A82" s="26" t="s">
        <v>60</v>
      </c>
      <c r="B82" s="27" t="s">
        <v>170</v>
      </c>
      <c r="C82" s="27" t="s">
        <v>222</v>
      </c>
      <c r="D82" s="27" t="s">
        <v>223</v>
      </c>
      <c r="E82" s="27" t="s">
        <v>63</v>
      </c>
      <c r="F82" s="27" t="s">
        <v>170</v>
      </c>
      <c r="G82" s="27" t="s">
        <v>170</v>
      </c>
    </row>
    <row r="83" spans="1:8" x14ac:dyDescent="0.2">
      <c r="A83" s="26" t="s">
        <v>14</v>
      </c>
      <c r="B83" s="28">
        <v>2</v>
      </c>
      <c r="C83" s="28">
        <v>2</v>
      </c>
      <c r="D83" s="28">
        <v>4</v>
      </c>
      <c r="E83" s="28">
        <v>1</v>
      </c>
      <c r="F83" s="28">
        <v>2</v>
      </c>
      <c r="G83" s="28">
        <v>2</v>
      </c>
      <c r="H83" s="6" t="s">
        <v>204</v>
      </c>
    </row>
    <row r="84" spans="1:8" x14ac:dyDescent="0.2">
      <c r="A84" s="26" t="s">
        <v>23</v>
      </c>
      <c r="B84" s="28">
        <v>1</v>
      </c>
      <c r="C84" s="28">
        <v>1</v>
      </c>
      <c r="D84" s="28">
        <v>0</v>
      </c>
      <c r="E84" s="28"/>
      <c r="F84" s="28">
        <v>2</v>
      </c>
      <c r="G84" s="28">
        <v>1</v>
      </c>
      <c r="H84" s="6" t="s">
        <v>205</v>
      </c>
    </row>
    <row r="85" spans="1:8" x14ac:dyDescent="0.2">
      <c r="A85" s="26" t="s">
        <v>34</v>
      </c>
      <c r="B85" s="28">
        <v>16</v>
      </c>
      <c r="C85" s="28">
        <v>16</v>
      </c>
      <c r="D85" s="28">
        <v>8</v>
      </c>
      <c r="E85" s="28"/>
      <c r="F85" s="28">
        <v>10</v>
      </c>
      <c r="G85" s="28">
        <v>16</v>
      </c>
      <c r="H85" s="7" t="s">
        <v>206</v>
      </c>
    </row>
    <row r="86" spans="1:8" x14ac:dyDescent="0.2">
      <c r="A86" s="26" t="s">
        <v>35</v>
      </c>
      <c r="B86" s="28">
        <v>200</v>
      </c>
      <c r="C86" s="28">
        <v>200</v>
      </c>
      <c r="D86" s="28">
        <v>200</v>
      </c>
      <c r="E86" s="28"/>
      <c r="F86" s="28">
        <v>200</v>
      </c>
      <c r="G86" s="28">
        <v>200</v>
      </c>
      <c r="H86" s="7" t="s">
        <v>207</v>
      </c>
    </row>
    <row r="87" spans="1:8" x14ac:dyDescent="0.2">
      <c r="A87" s="83" t="s">
        <v>64</v>
      </c>
      <c r="B87" s="84"/>
      <c r="C87" s="84"/>
      <c r="D87" s="84"/>
      <c r="E87" s="84"/>
      <c r="F87" s="85"/>
      <c r="G87" s="84"/>
    </row>
    <row r="88" spans="1:8" x14ac:dyDescent="0.2">
      <c r="A88" s="26" t="s">
        <v>76</v>
      </c>
      <c r="B88" s="28"/>
      <c r="C88" s="28"/>
      <c r="D88" s="28"/>
      <c r="E88" s="28"/>
      <c r="F88" s="28"/>
      <c r="G88" s="28"/>
    </row>
    <row r="89" spans="1:8" x14ac:dyDescent="0.2">
      <c r="A89" s="26" t="s">
        <v>77</v>
      </c>
      <c r="B89" s="28"/>
      <c r="C89" s="28"/>
      <c r="D89" s="28"/>
      <c r="E89" s="28"/>
      <c r="F89" s="28"/>
      <c r="G89" s="28"/>
    </row>
    <row r="90" spans="1:8" x14ac:dyDescent="0.2">
      <c r="A90" s="26" t="s">
        <v>78</v>
      </c>
      <c r="B90" s="28"/>
      <c r="C90" s="28"/>
      <c r="D90" s="28"/>
      <c r="E90" s="28"/>
      <c r="F90" s="28"/>
      <c r="G90" s="28"/>
    </row>
    <row r="91" spans="1:8" x14ac:dyDescent="0.2">
      <c r="A91" s="26" t="s">
        <v>79</v>
      </c>
      <c r="B91" s="28"/>
      <c r="C91" s="28"/>
      <c r="D91" s="29">
        <f>MAX(E66,MinSSOStorage)</f>
        <v>61</v>
      </c>
      <c r="E91" s="28">
        <v>250</v>
      </c>
      <c r="F91" s="28"/>
      <c r="G91" s="28"/>
    </row>
    <row r="92" spans="1:8" x14ac:dyDescent="0.2">
      <c r="A92" s="26" t="s">
        <v>80</v>
      </c>
      <c r="B92" s="28"/>
      <c r="C92" s="28"/>
      <c r="D92" s="58">
        <f>CEILING(D91*3,100)</f>
        <v>200</v>
      </c>
      <c r="E92" s="28">
        <v>750</v>
      </c>
      <c r="F92" s="28"/>
      <c r="G92" s="28"/>
    </row>
    <row r="93" spans="1:8" x14ac:dyDescent="0.2">
      <c r="A93" s="26" t="s">
        <v>81</v>
      </c>
      <c r="B93" s="28"/>
      <c r="C93" s="28"/>
      <c r="D93" s="58">
        <f>D91*2</f>
        <v>122</v>
      </c>
      <c r="E93" s="28">
        <v>350</v>
      </c>
      <c r="F93" s="28"/>
      <c r="G93" s="28"/>
    </row>
    <row r="94" spans="1:8" x14ac:dyDescent="0.2">
      <c r="A94" s="83" t="s">
        <v>66</v>
      </c>
      <c r="B94" s="84"/>
      <c r="C94" s="84"/>
      <c r="D94" s="84"/>
      <c r="E94" s="84"/>
      <c r="F94" s="85"/>
      <c r="G94" s="84"/>
    </row>
    <row r="95" spans="1:8" x14ac:dyDescent="0.2">
      <c r="A95" s="26" t="s">
        <v>61</v>
      </c>
      <c r="B95" s="27" t="s">
        <v>196</v>
      </c>
      <c r="C95" s="27" t="s">
        <v>196</v>
      </c>
      <c r="D95" s="27" t="s">
        <v>62</v>
      </c>
      <c r="E95" s="27" t="s">
        <v>62</v>
      </c>
      <c r="F95" s="27" t="s">
        <v>195</v>
      </c>
      <c r="G95" s="27" t="s">
        <v>190</v>
      </c>
      <c r="H95" s="66" t="s">
        <v>203</v>
      </c>
    </row>
    <row r="96" spans="1:8" x14ac:dyDescent="0.2">
      <c r="A96" s="83" t="s">
        <v>65</v>
      </c>
      <c r="B96" s="84"/>
      <c r="C96" s="84"/>
      <c r="D96" s="84"/>
      <c r="E96" s="84"/>
      <c r="F96" s="85"/>
      <c r="G96" s="86"/>
      <c r="H96" s="6" t="s">
        <v>208</v>
      </c>
    </row>
    <row r="97" spans="1:8" x14ac:dyDescent="0.2">
      <c r="A97" s="26" t="s">
        <v>54</v>
      </c>
      <c r="B97" s="28"/>
      <c r="C97" s="28"/>
      <c r="D97" s="28"/>
      <c r="E97" s="28"/>
      <c r="F97" s="28"/>
      <c r="G97" s="28"/>
      <c r="H97" s="6" t="s">
        <v>209</v>
      </c>
    </row>
    <row r="98" spans="1:8" x14ac:dyDescent="0.2">
      <c r="A98" s="26" t="s">
        <v>55</v>
      </c>
      <c r="B98" s="28"/>
      <c r="C98" s="28"/>
      <c r="D98" s="28"/>
      <c r="E98" s="28"/>
      <c r="F98" s="28"/>
      <c r="G98" s="28"/>
      <c r="H98" s="7" t="s">
        <v>211</v>
      </c>
    </row>
    <row r="99" spans="1:8" x14ac:dyDescent="0.2">
      <c r="A99" s="26" t="s">
        <v>52</v>
      </c>
      <c r="B99" s="28"/>
      <c r="C99" s="28"/>
      <c r="D99" s="28"/>
      <c r="E99" s="28"/>
      <c r="F99" s="28"/>
      <c r="G99" s="28"/>
      <c r="H99" s="7" t="s">
        <v>212</v>
      </c>
    </row>
    <row r="100" spans="1:8" x14ac:dyDescent="0.2">
      <c r="A100" s="26" t="s">
        <v>53</v>
      </c>
      <c r="B100" s="28"/>
      <c r="C100" s="28"/>
      <c r="D100" s="28"/>
      <c r="E100" s="28"/>
      <c r="F100" s="28"/>
      <c r="G100" s="28"/>
    </row>
    <row r="101" spans="1:8" x14ac:dyDescent="0.2">
      <c r="A101" s="26" t="s">
        <v>56</v>
      </c>
      <c r="B101" s="58">
        <f>E43</f>
        <v>239</v>
      </c>
      <c r="C101" s="58">
        <f>E53</f>
        <v>254</v>
      </c>
      <c r="D101" s="28"/>
      <c r="E101" s="28"/>
      <c r="F101" s="28">
        <v>100</v>
      </c>
      <c r="G101" s="28">
        <v>1000</v>
      </c>
    </row>
    <row r="102" spans="1:8" x14ac:dyDescent="0.2">
      <c r="A102" s="26" t="s">
        <v>57</v>
      </c>
      <c r="B102" s="58">
        <f>CEILING(B101*3,100)</f>
        <v>800</v>
      </c>
      <c r="C102" s="58">
        <f>CEILING(C101*3,100)</f>
        <v>800</v>
      </c>
      <c r="D102" s="28"/>
      <c r="E102" s="28"/>
      <c r="F102" s="28">
        <v>300</v>
      </c>
      <c r="G102" s="28">
        <v>3000</v>
      </c>
    </row>
    <row r="103" spans="1:8" x14ac:dyDescent="0.2">
      <c r="A103" s="15"/>
      <c r="B103" s="87"/>
      <c r="C103" s="87"/>
      <c r="D103" s="87"/>
      <c r="E103" s="88"/>
      <c r="F103" s="88"/>
      <c r="G103" s="88"/>
      <c r="H103" s="88"/>
    </row>
    <row r="104" spans="1:8" x14ac:dyDescent="0.2">
      <c r="A104" s="111" t="s">
        <v>256</v>
      </c>
      <c r="B104" s="112"/>
    </row>
    <row r="105" spans="1:8" x14ac:dyDescent="0.2">
      <c r="A105" s="111" t="s">
        <v>257</v>
      </c>
      <c r="B105" s="112"/>
    </row>
    <row r="106" spans="1:8" x14ac:dyDescent="0.2">
      <c r="A106" s="26" t="s">
        <v>9</v>
      </c>
      <c r="B106" s="27">
        <v>1</v>
      </c>
    </row>
    <row r="107" spans="1:8" ht="15" customHeight="1" x14ac:dyDescent="0.2">
      <c r="A107" s="26" t="s">
        <v>305</v>
      </c>
      <c r="B107" s="27">
        <v>1</v>
      </c>
      <c r="C107" s="105" t="s">
        <v>310</v>
      </c>
      <c r="D107" s="106"/>
    </row>
    <row r="108" spans="1:8" x14ac:dyDescent="0.2">
      <c r="A108" s="26" t="s">
        <v>262</v>
      </c>
      <c r="B108" s="27" t="s">
        <v>170</v>
      </c>
      <c r="C108" s="107"/>
      <c r="D108" s="108"/>
    </row>
    <row r="109" spans="1:8" x14ac:dyDescent="0.2">
      <c r="A109" s="26" t="s">
        <v>314</v>
      </c>
      <c r="B109" s="27">
        <v>20</v>
      </c>
      <c r="C109" s="107"/>
      <c r="D109" s="108"/>
    </row>
    <row r="110" spans="1:8" x14ac:dyDescent="0.2">
      <c r="A110" s="26" t="s">
        <v>316</v>
      </c>
      <c r="B110" s="27"/>
      <c r="C110" s="107"/>
      <c r="D110" s="108"/>
    </row>
    <row r="111" spans="1:8" x14ac:dyDescent="0.2">
      <c r="A111" s="26" t="s">
        <v>318</v>
      </c>
      <c r="B111" s="27"/>
      <c r="C111" s="107"/>
      <c r="D111" s="108"/>
    </row>
    <row r="112" spans="1:8" x14ac:dyDescent="0.2">
      <c r="A112" s="26" t="s">
        <v>320</v>
      </c>
      <c r="B112" s="27"/>
      <c r="C112" s="107"/>
      <c r="D112" s="108"/>
    </row>
    <row r="113" spans="1:4" x14ac:dyDescent="0.2">
      <c r="A113" s="26" t="s">
        <v>321</v>
      </c>
      <c r="B113" s="27"/>
      <c r="C113" s="107"/>
      <c r="D113" s="108"/>
    </row>
    <row r="114" spans="1:4" x14ac:dyDescent="0.2">
      <c r="A114" s="26" t="s">
        <v>322</v>
      </c>
      <c r="B114" s="27"/>
      <c r="C114" s="107"/>
      <c r="D114" s="108"/>
    </row>
    <row r="115" spans="1:4" x14ac:dyDescent="0.2">
      <c r="A115" s="26" t="s">
        <v>306</v>
      </c>
      <c r="B115" s="89">
        <f>CEILING(B28/MaxConcurrentStudents,1)</f>
        <v>39</v>
      </c>
      <c r="C115" s="107"/>
      <c r="D115" s="108"/>
    </row>
    <row r="116" spans="1:4" x14ac:dyDescent="0.2">
      <c r="A116" s="26" t="s">
        <v>261</v>
      </c>
      <c r="B116" s="27" t="s">
        <v>171</v>
      </c>
      <c r="C116" s="107"/>
      <c r="D116" s="108"/>
    </row>
    <row r="117" spans="1:4" x14ac:dyDescent="0.2">
      <c r="A117" s="26" t="s">
        <v>315</v>
      </c>
      <c r="B117" s="27">
        <v>8</v>
      </c>
      <c r="C117" s="107"/>
      <c r="D117" s="108"/>
    </row>
    <row r="118" spans="1:4" x14ac:dyDescent="0.2">
      <c r="A118" s="26" t="s">
        <v>317</v>
      </c>
      <c r="B118" s="27"/>
      <c r="C118" s="107"/>
      <c r="D118" s="108"/>
    </row>
    <row r="119" spans="1:4" x14ac:dyDescent="0.2">
      <c r="A119" s="26" t="s">
        <v>319</v>
      </c>
      <c r="B119" s="27"/>
      <c r="C119" s="107"/>
      <c r="D119" s="108"/>
    </row>
    <row r="120" spans="1:4" x14ac:dyDescent="0.2">
      <c r="A120" s="26" t="s">
        <v>323</v>
      </c>
      <c r="B120" s="27"/>
      <c r="C120" s="107"/>
      <c r="D120" s="108"/>
    </row>
    <row r="121" spans="1:4" x14ac:dyDescent="0.2">
      <c r="A121" s="26" t="s">
        <v>324</v>
      </c>
      <c r="B121" s="27"/>
      <c r="C121" s="107"/>
      <c r="D121" s="108"/>
    </row>
    <row r="122" spans="1:4" x14ac:dyDescent="0.2">
      <c r="A122" s="26" t="s">
        <v>325</v>
      </c>
      <c r="B122" s="27"/>
      <c r="C122" s="109"/>
      <c r="D122" s="110"/>
    </row>
    <row r="123" spans="1:4" x14ac:dyDescent="0.2">
      <c r="A123" s="26" t="s">
        <v>244</v>
      </c>
      <c r="B123" s="27">
        <v>2</v>
      </c>
      <c r="C123" s="103"/>
      <c r="D123" s="103"/>
    </row>
    <row r="124" spans="1:4" x14ac:dyDescent="0.2">
      <c r="A124" s="26" t="s">
        <v>245</v>
      </c>
      <c r="B124" s="27">
        <v>2</v>
      </c>
    </row>
    <row r="125" spans="1:4" x14ac:dyDescent="0.2">
      <c r="A125" s="26" t="s">
        <v>246</v>
      </c>
      <c r="B125" s="89">
        <f>CEILING(B28/MaxConcurrentStudentsExamService,1)</f>
        <v>80</v>
      </c>
    </row>
    <row r="126" spans="1:4" x14ac:dyDescent="0.2">
      <c r="A126" s="26" t="s">
        <v>247</v>
      </c>
      <c r="B126" s="27">
        <v>2</v>
      </c>
    </row>
    <row r="127" spans="1:4" x14ac:dyDescent="0.2">
      <c r="A127" s="26" t="s">
        <v>248</v>
      </c>
      <c r="B127" s="27">
        <v>2</v>
      </c>
    </row>
    <row r="128" spans="1:4" x14ac:dyDescent="0.2">
      <c r="A128" s="26" t="s">
        <v>249</v>
      </c>
      <c r="B128" s="27">
        <v>2</v>
      </c>
    </row>
    <row r="129" spans="1:2" x14ac:dyDescent="0.2">
      <c r="A129" s="26" t="s">
        <v>251</v>
      </c>
      <c r="B129" s="89">
        <f>CEILING(B28/MaxConcurrentStudentsProctorWar,1)</f>
        <v>18</v>
      </c>
    </row>
    <row r="130" spans="1:2" x14ac:dyDescent="0.2">
      <c r="A130" s="26" t="s">
        <v>250</v>
      </c>
      <c r="B130" s="89">
        <f>CEILING(B28/MaxConcurrentStudentsStudentWar,1)</f>
        <v>71</v>
      </c>
    </row>
    <row r="131" spans="1:2" x14ac:dyDescent="0.2">
      <c r="A131" s="26" t="s">
        <v>33</v>
      </c>
      <c r="B131" s="97">
        <f>CEILING(B28*B36*B37*(100%+DataCapacityOH)/1024^2, 1)</f>
        <v>127</v>
      </c>
    </row>
    <row r="132" spans="1:2" x14ac:dyDescent="0.2">
      <c r="A132" s="26" t="s">
        <v>252</v>
      </c>
      <c r="B132" s="27">
        <v>8</v>
      </c>
    </row>
    <row r="133" spans="1:2" x14ac:dyDescent="0.2">
      <c r="A133" s="26" t="s">
        <v>253</v>
      </c>
      <c r="B133" s="27">
        <v>120</v>
      </c>
    </row>
    <row r="134" spans="1:2" x14ac:dyDescent="0.2">
      <c r="A134" s="111" t="s">
        <v>254</v>
      </c>
      <c r="B134" s="112"/>
    </row>
    <row r="135" spans="1:2" x14ac:dyDescent="0.2">
      <c r="A135" s="26" t="s">
        <v>255</v>
      </c>
      <c r="B135" s="26"/>
    </row>
    <row r="136" spans="1:2" x14ac:dyDescent="0.2">
      <c r="A136" s="111" t="s">
        <v>258</v>
      </c>
      <c r="B136" s="112"/>
    </row>
    <row r="137" spans="1:2" x14ac:dyDescent="0.2">
      <c r="A137" s="26" t="s">
        <v>267</v>
      </c>
      <c r="B137" s="27" t="s">
        <v>290</v>
      </c>
    </row>
    <row r="138" spans="1:2" x14ac:dyDescent="0.2">
      <c r="A138" s="26" t="s">
        <v>259</v>
      </c>
      <c r="B138" s="27" t="s">
        <v>188</v>
      </c>
    </row>
    <row r="139" spans="1:2" x14ac:dyDescent="0.2">
      <c r="A139" s="111" t="s">
        <v>260</v>
      </c>
      <c r="B139" s="112"/>
    </row>
    <row r="140" spans="1:2" x14ac:dyDescent="0.2">
      <c r="A140" s="26" t="s">
        <v>54</v>
      </c>
      <c r="B140" s="27"/>
    </row>
    <row r="141" spans="1:2" x14ac:dyDescent="0.2">
      <c r="A141" s="26" t="s">
        <v>55</v>
      </c>
      <c r="B141" s="27"/>
    </row>
    <row r="142" spans="1:2" x14ac:dyDescent="0.2">
      <c r="A142" s="26" t="s">
        <v>52</v>
      </c>
      <c r="B142" s="27"/>
    </row>
    <row r="143" spans="1:2" x14ac:dyDescent="0.2">
      <c r="A143" s="26" t="s">
        <v>53</v>
      </c>
      <c r="B143" s="27"/>
    </row>
    <row r="144" spans="1:2" x14ac:dyDescent="0.2">
      <c r="A144" s="26" t="s">
        <v>56</v>
      </c>
      <c r="B144" s="58">
        <f>E36</f>
        <v>500</v>
      </c>
    </row>
    <row r="145" spans="1:2" x14ac:dyDescent="0.2">
      <c r="A145" s="26" t="s">
        <v>57</v>
      </c>
      <c r="B145" s="58">
        <f>E37</f>
        <v>884.09666666666669</v>
      </c>
    </row>
    <row r="146" spans="1:2" x14ac:dyDescent="0.2">
      <c r="A146" s="111" t="s">
        <v>263</v>
      </c>
      <c r="B146" s="112"/>
    </row>
    <row r="147" spans="1:2" x14ac:dyDescent="0.2">
      <c r="A147" s="26" t="s">
        <v>267</v>
      </c>
      <c r="B147" s="27" t="s">
        <v>291</v>
      </c>
    </row>
    <row r="148" spans="1:2" x14ac:dyDescent="0.2">
      <c r="A148" s="26" t="s">
        <v>259</v>
      </c>
      <c r="B148" s="27" t="s">
        <v>296</v>
      </c>
    </row>
    <row r="149" spans="1:2" x14ac:dyDescent="0.2">
      <c r="A149" s="111" t="s">
        <v>264</v>
      </c>
      <c r="B149" s="112"/>
    </row>
    <row r="150" spans="1:2" x14ac:dyDescent="0.2">
      <c r="A150" s="26" t="s">
        <v>54</v>
      </c>
      <c r="B150" s="27"/>
    </row>
    <row r="151" spans="1:2" x14ac:dyDescent="0.2">
      <c r="A151" s="26" t="s">
        <v>55</v>
      </c>
      <c r="B151" s="27"/>
    </row>
    <row r="152" spans="1:2" x14ac:dyDescent="0.2">
      <c r="A152" s="26" t="s">
        <v>52</v>
      </c>
      <c r="B152" s="27"/>
    </row>
    <row r="153" spans="1:2" x14ac:dyDescent="0.2">
      <c r="A153" s="26" t="s">
        <v>53</v>
      </c>
      <c r="B153" s="27"/>
    </row>
    <row r="154" spans="1:2" x14ac:dyDescent="0.2">
      <c r="A154" s="26" t="s">
        <v>56</v>
      </c>
      <c r="B154" s="58">
        <f>E36</f>
        <v>500</v>
      </c>
    </row>
    <row r="155" spans="1:2" x14ac:dyDescent="0.2">
      <c r="A155" s="26" t="s">
        <v>57</v>
      </c>
      <c r="B155" s="58">
        <f>E38</f>
        <v>2211</v>
      </c>
    </row>
    <row r="156" spans="1:2" x14ac:dyDescent="0.2">
      <c r="A156" s="111" t="s">
        <v>332</v>
      </c>
      <c r="B156" s="112"/>
    </row>
    <row r="157" spans="1:2" x14ac:dyDescent="0.2">
      <c r="A157" s="26" t="s">
        <v>268</v>
      </c>
      <c r="B157" s="58">
        <f>B33*B34*B35/1024</f>
        <v>781.25</v>
      </c>
    </row>
    <row r="158" spans="1:2" x14ac:dyDescent="0.2">
      <c r="A158" s="15"/>
      <c r="B158" s="78"/>
    </row>
    <row r="159" spans="1:2" x14ac:dyDescent="0.2">
      <c r="A159" s="15"/>
      <c r="B159" s="78"/>
    </row>
    <row r="160" spans="1:2" x14ac:dyDescent="0.2">
      <c r="A160" s="15"/>
      <c r="B160" s="78"/>
    </row>
    <row r="161" spans="1:9" x14ac:dyDescent="0.2">
      <c r="A161" s="12" t="s">
        <v>73</v>
      </c>
      <c r="B161" s="13"/>
      <c r="C161" s="13"/>
      <c r="D161" s="13"/>
      <c r="E161" s="13"/>
      <c r="F161" s="13"/>
      <c r="G161" s="13"/>
      <c r="H161" s="13"/>
      <c r="I161" s="13"/>
    </row>
    <row r="162" spans="1:9" x14ac:dyDescent="0.2">
      <c r="A162" s="15"/>
      <c r="B162" s="30"/>
      <c r="C162" s="30"/>
      <c r="D162" s="30"/>
      <c r="E162" s="30"/>
      <c r="F162" s="30"/>
      <c r="G162" s="30"/>
      <c r="H162" s="30"/>
    </row>
    <row r="163" spans="1:9" x14ac:dyDescent="0.2">
      <c r="A163" s="32" t="s">
        <v>84</v>
      </c>
      <c r="B163" s="33" t="s">
        <v>6</v>
      </c>
      <c r="C163" s="33" t="s">
        <v>10</v>
      </c>
      <c r="D163" s="33" t="s">
        <v>11</v>
      </c>
      <c r="E163" s="33" t="s">
        <v>12</v>
      </c>
      <c r="F163" s="33" t="s">
        <v>13</v>
      </c>
      <c r="G163" s="33" t="s">
        <v>7</v>
      </c>
      <c r="H163" s="33" t="s">
        <v>44</v>
      </c>
      <c r="I163" s="34" t="s">
        <v>40</v>
      </c>
    </row>
    <row r="164" spans="1:9" x14ac:dyDescent="0.2">
      <c r="A164" s="5" t="s">
        <v>0</v>
      </c>
      <c r="B164" s="21">
        <f t="shared" ref="B164:B166" si="0">IFERROR(VLOOKUP($A164,EC2costs,VLOOKUP(SelectedRegion,Region,2,FALSE),FALSE),0)</f>
        <v>2.5000000000000001E-2</v>
      </c>
      <c r="C164" s="21">
        <f t="shared" ref="C164:H166" si="1">IFERROR(VLOOKUP($A164,EC2costs,VLOOKUP(SelectedRegion,Region,2,FALSE),FALSE),0)</f>
        <v>2.5000000000000001E-2</v>
      </c>
      <c r="D164" s="21">
        <f t="shared" si="1"/>
        <v>2.5000000000000001E-2</v>
      </c>
      <c r="E164" s="21">
        <f t="shared" si="1"/>
        <v>2.5000000000000001E-2</v>
      </c>
      <c r="F164" s="21">
        <f t="shared" si="1"/>
        <v>2.5000000000000001E-2</v>
      </c>
      <c r="G164" s="21">
        <f t="shared" si="1"/>
        <v>2.5000000000000001E-2</v>
      </c>
      <c r="H164" s="21">
        <f t="shared" si="1"/>
        <v>2.5000000000000001E-2</v>
      </c>
      <c r="I164" s="21" t="str">
        <f>IFERROR(VLOOKUP($A164,EC2costs,5,FALSE),0)</f>
        <v>each</v>
      </c>
    </row>
    <row r="165" spans="1:9" x14ac:dyDescent="0.2">
      <c r="A165" s="35" t="s">
        <v>36</v>
      </c>
      <c r="B165" s="21">
        <f t="shared" si="0"/>
        <v>8.0000000000000002E-3</v>
      </c>
      <c r="C165" s="21">
        <f t="shared" si="1"/>
        <v>8.0000000000000002E-3</v>
      </c>
      <c r="D165" s="21">
        <f t="shared" si="1"/>
        <v>8.0000000000000002E-3</v>
      </c>
      <c r="E165" s="21">
        <f t="shared" si="1"/>
        <v>8.0000000000000002E-3</v>
      </c>
      <c r="F165" s="21">
        <f t="shared" si="1"/>
        <v>8.0000000000000002E-3</v>
      </c>
      <c r="G165" s="21">
        <f t="shared" si="1"/>
        <v>8.0000000000000002E-3</v>
      </c>
      <c r="H165" s="21">
        <f t="shared" si="1"/>
        <v>8.0000000000000002E-3</v>
      </c>
      <c r="I165" s="21" t="str">
        <f>IFERROR(VLOOKUP($A165,EC2costs,5,FALSE),0)</f>
        <v>GB/hour</v>
      </c>
    </row>
    <row r="166" spans="1:9" x14ac:dyDescent="0.2">
      <c r="A166" s="35" t="s">
        <v>24</v>
      </c>
      <c r="B166" s="21">
        <f t="shared" si="0"/>
        <v>0.12</v>
      </c>
      <c r="C166" s="21">
        <f t="shared" si="1"/>
        <v>0.12</v>
      </c>
      <c r="D166" s="21">
        <f t="shared" si="1"/>
        <v>0.12</v>
      </c>
      <c r="E166" s="21">
        <f t="shared" si="1"/>
        <v>0.12</v>
      </c>
      <c r="F166" s="21">
        <f t="shared" si="1"/>
        <v>0.12</v>
      </c>
      <c r="G166" s="21">
        <f t="shared" si="1"/>
        <v>0.12</v>
      </c>
      <c r="H166" s="21">
        <f t="shared" si="1"/>
        <v>0.12</v>
      </c>
      <c r="I166" s="21" t="str">
        <f>IFERROR(VLOOKUP($A166,EC2costs,5,FALSE),0)</f>
        <v>GB/hour</v>
      </c>
    </row>
    <row r="167" spans="1:9" x14ac:dyDescent="0.2">
      <c r="A167" s="35" t="s">
        <v>68</v>
      </c>
      <c r="B167" s="100" t="s">
        <v>313</v>
      </c>
      <c r="C167" s="21">
        <f t="shared" ref="C167:H167" si="2">IFERROR(VLOOKUP(B82,EC2costs,VLOOKUP(SelectedRegion,Region,2,FALSE),FALSE),0)</f>
        <v>0.26600000000000001</v>
      </c>
      <c r="D167" s="21">
        <f t="shared" si="2"/>
        <v>0.83799999999999997</v>
      </c>
      <c r="E167" s="21">
        <f t="shared" si="2"/>
        <v>1.675</v>
      </c>
      <c r="F167" s="21">
        <f t="shared" si="2"/>
        <v>0</v>
      </c>
      <c r="G167" s="21">
        <f t="shared" si="2"/>
        <v>0.26600000000000001</v>
      </c>
      <c r="H167" s="21">
        <f t="shared" si="2"/>
        <v>0.26600000000000001</v>
      </c>
      <c r="I167" s="21" t="s">
        <v>41</v>
      </c>
    </row>
    <row r="168" spans="1:9" x14ac:dyDescent="0.2">
      <c r="A168" s="35" t="s">
        <v>311</v>
      </c>
      <c r="B168" s="21">
        <f>IFERROR(VLOOKUP(B108,EC2costs,VLOOKUP(SelectedRegion,Region,2,FALSE),FALSE),0)</f>
        <v>0.26600000000000001</v>
      </c>
      <c r="C168" s="100" t="s">
        <v>313</v>
      </c>
      <c r="D168" s="100" t="s">
        <v>313</v>
      </c>
      <c r="E168" s="100" t="s">
        <v>313</v>
      </c>
      <c r="F168" s="100" t="s">
        <v>313</v>
      </c>
      <c r="G168" s="100" t="s">
        <v>313</v>
      </c>
      <c r="H168" s="100" t="s">
        <v>313</v>
      </c>
      <c r="I168" s="102" t="s">
        <v>41</v>
      </c>
    </row>
    <row r="169" spans="1:9" x14ac:dyDescent="0.2">
      <c r="A169" s="35" t="s">
        <v>312</v>
      </c>
      <c r="B169" s="21">
        <f>IFERROR(VLOOKUP(B116,EC2costs,VLOOKUP(SelectedRegion,Region,2,FALSE),FALSE),0)</f>
        <v>0.53200000000000003</v>
      </c>
      <c r="C169" s="100" t="s">
        <v>313</v>
      </c>
      <c r="D169" s="100" t="s">
        <v>313</v>
      </c>
      <c r="E169" s="100" t="s">
        <v>313</v>
      </c>
      <c r="F169" s="100" t="s">
        <v>313</v>
      </c>
      <c r="G169" s="100" t="s">
        <v>313</v>
      </c>
      <c r="H169" s="100" t="s">
        <v>313</v>
      </c>
      <c r="I169" s="102" t="s">
        <v>41</v>
      </c>
    </row>
    <row r="170" spans="1:9" x14ac:dyDescent="0.2">
      <c r="A170" s="35" t="s">
        <v>48</v>
      </c>
      <c r="B170" s="21">
        <f t="shared" ref="B170:B175" si="3">IFERROR(VLOOKUP($A170,EC2storagecosts,VLOOKUP(SelectedRegion,Region,2,FALSE),FALSE),0)</f>
        <v>0.1</v>
      </c>
      <c r="C170" s="21">
        <f t="shared" ref="C170:H175" si="4">IFERROR(VLOOKUP($A170,EC2storagecosts,VLOOKUP(SelectedRegion,Region,2,FALSE),FALSE),0)</f>
        <v>0.1</v>
      </c>
      <c r="D170" s="21">
        <f t="shared" si="4"/>
        <v>0.1</v>
      </c>
      <c r="E170" s="21">
        <f t="shared" si="4"/>
        <v>0.1</v>
      </c>
      <c r="F170" s="21">
        <f t="shared" si="4"/>
        <v>0.1</v>
      </c>
      <c r="G170" s="21">
        <f t="shared" si="4"/>
        <v>0.1</v>
      </c>
      <c r="H170" s="21">
        <f t="shared" si="4"/>
        <v>0.1</v>
      </c>
      <c r="I170" s="21" t="str">
        <f t="shared" ref="I170:I175" si="5">IFERROR(VLOOKUP($A170,EC2storagecosts,5,FALSE),0)</f>
        <v>GB</v>
      </c>
    </row>
    <row r="171" spans="1:9" x14ac:dyDescent="0.2">
      <c r="A171" s="35" t="s">
        <v>49</v>
      </c>
      <c r="B171" s="21">
        <f t="shared" si="3"/>
        <v>0.05</v>
      </c>
      <c r="C171" s="21">
        <f t="shared" si="4"/>
        <v>0.05</v>
      </c>
      <c r="D171" s="21">
        <f t="shared" si="4"/>
        <v>0.05</v>
      </c>
      <c r="E171" s="21">
        <f t="shared" si="4"/>
        <v>0.05</v>
      </c>
      <c r="F171" s="21">
        <f t="shared" si="4"/>
        <v>0.05</v>
      </c>
      <c r="G171" s="21">
        <f t="shared" si="4"/>
        <v>0.05</v>
      </c>
      <c r="H171" s="21">
        <f t="shared" si="4"/>
        <v>0.05</v>
      </c>
      <c r="I171" s="21" t="str">
        <f t="shared" si="5"/>
        <v>10^6 I/O Requests</v>
      </c>
    </row>
    <row r="172" spans="1:9" x14ac:dyDescent="0.2">
      <c r="A172" s="35" t="s">
        <v>74</v>
      </c>
      <c r="B172" s="21">
        <f t="shared" si="3"/>
        <v>9.5000000000000001E-2</v>
      </c>
      <c r="C172" s="21">
        <f t="shared" si="4"/>
        <v>9.5000000000000001E-2</v>
      </c>
      <c r="D172" s="21">
        <f t="shared" si="4"/>
        <v>9.5000000000000001E-2</v>
      </c>
      <c r="E172" s="21">
        <f t="shared" si="4"/>
        <v>9.5000000000000001E-2</v>
      </c>
      <c r="F172" s="21">
        <f t="shared" si="4"/>
        <v>9.5000000000000001E-2</v>
      </c>
      <c r="G172" s="21">
        <f t="shared" si="4"/>
        <v>9.5000000000000001E-2</v>
      </c>
      <c r="H172" s="21">
        <f t="shared" si="4"/>
        <v>9.5000000000000001E-2</v>
      </c>
      <c r="I172" s="21" t="str">
        <f t="shared" si="5"/>
        <v>GB</v>
      </c>
    </row>
    <row r="173" spans="1:9" x14ac:dyDescent="0.2">
      <c r="A173" s="35" t="s">
        <v>50</v>
      </c>
      <c r="B173" s="21">
        <f t="shared" si="3"/>
        <v>0.125</v>
      </c>
      <c r="C173" s="21">
        <f t="shared" si="4"/>
        <v>0.125</v>
      </c>
      <c r="D173" s="21">
        <f t="shared" si="4"/>
        <v>0.125</v>
      </c>
      <c r="E173" s="21">
        <f t="shared" si="4"/>
        <v>0.125</v>
      </c>
      <c r="F173" s="21">
        <f t="shared" si="4"/>
        <v>0.125</v>
      </c>
      <c r="G173" s="21">
        <f t="shared" si="4"/>
        <v>0.125</v>
      </c>
      <c r="H173" s="21">
        <f t="shared" si="4"/>
        <v>0.125</v>
      </c>
      <c r="I173" s="21" t="str">
        <f t="shared" si="5"/>
        <v>GB</v>
      </c>
    </row>
    <row r="174" spans="1:9" x14ac:dyDescent="0.2">
      <c r="A174" s="35" t="s">
        <v>51</v>
      </c>
      <c r="B174" s="21">
        <f t="shared" si="3"/>
        <v>6.5000000000000002E-2</v>
      </c>
      <c r="C174" s="21">
        <f t="shared" si="4"/>
        <v>6.5000000000000002E-2</v>
      </c>
      <c r="D174" s="21">
        <f t="shared" si="4"/>
        <v>6.5000000000000002E-2</v>
      </c>
      <c r="E174" s="21">
        <f t="shared" si="4"/>
        <v>6.5000000000000002E-2</v>
      </c>
      <c r="F174" s="21">
        <f t="shared" si="4"/>
        <v>6.5000000000000002E-2</v>
      </c>
      <c r="G174" s="21">
        <f t="shared" si="4"/>
        <v>6.5000000000000002E-2</v>
      </c>
      <c r="H174" s="21">
        <f t="shared" si="4"/>
        <v>6.5000000000000002E-2</v>
      </c>
      <c r="I174" s="21" t="str">
        <f t="shared" si="5"/>
        <v>Provisioned IOPS per sec</v>
      </c>
    </row>
    <row r="175" spans="1:9" x14ac:dyDescent="0.2">
      <c r="A175" s="35" t="s">
        <v>75</v>
      </c>
      <c r="B175" s="21">
        <f t="shared" si="3"/>
        <v>9.5000000000000001E-2</v>
      </c>
      <c r="C175" s="21">
        <f t="shared" si="4"/>
        <v>9.5000000000000001E-2</v>
      </c>
      <c r="D175" s="21">
        <f t="shared" si="4"/>
        <v>9.5000000000000001E-2</v>
      </c>
      <c r="E175" s="21">
        <f t="shared" si="4"/>
        <v>9.5000000000000001E-2</v>
      </c>
      <c r="F175" s="21">
        <f t="shared" si="4"/>
        <v>9.5000000000000001E-2</v>
      </c>
      <c r="G175" s="21">
        <f t="shared" si="4"/>
        <v>9.5000000000000001E-2</v>
      </c>
      <c r="H175" s="21">
        <f t="shared" si="4"/>
        <v>9.5000000000000001E-2</v>
      </c>
      <c r="I175" s="21" t="str">
        <f t="shared" si="5"/>
        <v>GB</v>
      </c>
    </row>
    <row r="176" spans="1:9" x14ac:dyDescent="0.2">
      <c r="A176" s="35" t="s">
        <v>8</v>
      </c>
      <c r="B176" s="100" t="s">
        <v>313</v>
      </c>
      <c r="C176" s="21">
        <f t="shared" ref="C176:H176" si="6">IFERROR(VLOOKUP(B95,RDScosts,VLOOKUP(SelectedRegion,Region,2,FALSE),FALSE),0)</f>
        <v>0.37</v>
      </c>
      <c r="D176" s="21">
        <f t="shared" si="6"/>
        <v>0.37</v>
      </c>
      <c r="E176" s="21">
        <f t="shared" si="6"/>
        <v>0</v>
      </c>
      <c r="F176" s="21">
        <f t="shared" si="6"/>
        <v>0</v>
      </c>
      <c r="G176" s="21">
        <f t="shared" si="6"/>
        <v>0</v>
      </c>
      <c r="H176" s="21">
        <f t="shared" si="6"/>
        <v>0.33</v>
      </c>
      <c r="I176" s="21" t="s">
        <v>41</v>
      </c>
    </row>
    <row r="177" spans="1:9" x14ac:dyDescent="0.2">
      <c r="A177" s="35" t="s">
        <v>326</v>
      </c>
      <c r="B177" s="21">
        <f>IF(B$137="MySQL", IFERROR(VLOOKUP(B138,RDScosts,VLOOKUP(SelectedRegion,Region,2,FALSE),FALSE),0), IFERROR(VLOOKUP(B138,RDSauroracosts,VLOOKUP(SelectedRegion,Region,2,FALSE),FALSE),0))</f>
        <v>0.37</v>
      </c>
      <c r="C177" s="100" t="s">
        <v>313</v>
      </c>
      <c r="D177" s="100" t="s">
        <v>313</v>
      </c>
      <c r="E177" s="100" t="s">
        <v>313</v>
      </c>
      <c r="F177" s="100" t="s">
        <v>313</v>
      </c>
      <c r="G177" s="100" t="s">
        <v>313</v>
      </c>
      <c r="H177" s="100" t="s">
        <v>313</v>
      </c>
      <c r="I177" s="21" t="s">
        <v>41</v>
      </c>
    </row>
    <row r="178" spans="1:9" x14ac:dyDescent="0.2">
      <c r="A178" s="35" t="s">
        <v>330</v>
      </c>
      <c r="B178" s="21">
        <f>IF(B$147="MySQL", IFERROR(VLOOKUP(B148,RDScosts,VLOOKUP(SelectedRegion,Region,2,FALSE),FALSE),0), IFERROR(VLOOKUP(B148,RDSauroracosts,VLOOKUP(SelectedRegion,Region,2,FALSE),FALSE),0))</f>
        <v>0.57999999999999996</v>
      </c>
      <c r="C178" s="100" t="s">
        <v>313</v>
      </c>
      <c r="D178" s="100" t="s">
        <v>313</v>
      </c>
      <c r="E178" s="100" t="s">
        <v>313</v>
      </c>
      <c r="F178" s="100" t="s">
        <v>313</v>
      </c>
      <c r="G178" s="100" t="s">
        <v>313</v>
      </c>
      <c r="H178" s="100" t="s">
        <v>313</v>
      </c>
      <c r="I178" s="21" t="s">
        <v>41</v>
      </c>
    </row>
    <row r="179" spans="1:9" x14ac:dyDescent="0.2">
      <c r="A179" s="35" t="s">
        <v>54</v>
      </c>
      <c r="B179" s="21">
        <f t="shared" ref="B179:B184" si="7">IFERROR(VLOOKUP($A179,RDSstoragecosts,VLOOKUP(SelectedRegion,Region,2,FALSE),FALSE),0)</f>
        <v>0.115</v>
      </c>
      <c r="C179" s="21">
        <f t="shared" ref="C179:H184" si="8">IFERROR(VLOOKUP($A179,RDSstoragecosts,VLOOKUP(SelectedRegion,Region,2,FALSE),FALSE),0)</f>
        <v>0.115</v>
      </c>
      <c r="D179" s="21">
        <f t="shared" si="8"/>
        <v>0.115</v>
      </c>
      <c r="E179" s="21">
        <f t="shared" si="8"/>
        <v>0.115</v>
      </c>
      <c r="F179" s="21">
        <f t="shared" si="8"/>
        <v>0.115</v>
      </c>
      <c r="G179" s="21">
        <f t="shared" si="8"/>
        <v>0.115</v>
      </c>
      <c r="H179" s="21">
        <f t="shared" si="8"/>
        <v>0.115</v>
      </c>
      <c r="I179" s="21" t="str">
        <f t="shared" ref="I179:I185" si="9">IFERROR(VLOOKUP($A179,RDSstoragecosts,5,FALSE),0)</f>
        <v>GB</v>
      </c>
    </row>
    <row r="180" spans="1:9" x14ac:dyDescent="0.2">
      <c r="A180" s="35" t="s">
        <v>55</v>
      </c>
      <c r="B180" s="21">
        <f t="shared" si="7"/>
        <v>0.1</v>
      </c>
      <c r="C180" s="21">
        <f t="shared" si="8"/>
        <v>0.1</v>
      </c>
      <c r="D180" s="21">
        <f t="shared" si="8"/>
        <v>0.1</v>
      </c>
      <c r="E180" s="21">
        <f t="shared" si="8"/>
        <v>0.1</v>
      </c>
      <c r="F180" s="21">
        <f t="shared" si="8"/>
        <v>0.1</v>
      </c>
      <c r="G180" s="21">
        <f t="shared" si="8"/>
        <v>0.1</v>
      </c>
      <c r="H180" s="21">
        <f t="shared" si="8"/>
        <v>0.1</v>
      </c>
      <c r="I180" s="21" t="str">
        <f t="shared" si="9"/>
        <v>Million I/O Requests</v>
      </c>
    </row>
    <row r="181" spans="1:9" x14ac:dyDescent="0.2">
      <c r="A181" s="35" t="s">
        <v>52</v>
      </c>
      <c r="B181" s="21">
        <f t="shared" si="7"/>
        <v>0.125</v>
      </c>
      <c r="C181" s="21">
        <f t="shared" si="8"/>
        <v>0.125</v>
      </c>
      <c r="D181" s="21">
        <f t="shared" si="8"/>
        <v>0.125</v>
      </c>
      <c r="E181" s="21">
        <f t="shared" si="8"/>
        <v>0.125</v>
      </c>
      <c r="F181" s="21">
        <f t="shared" si="8"/>
        <v>0.125</v>
      </c>
      <c r="G181" s="21">
        <f t="shared" si="8"/>
        <v>0.125</v>
      </c>
      <c r="H181" s="21">
        <f t="shared" si="8"/>
        <v>0.125</v>
      </c>
      <c r="I181" s="21" t="str">
        <f t="shared" si="9"/>
        <v>GB</v>
      </c>
    </row>
    <row r="182" spans="1:9" x14ac:dyDescent="0.2">
      <c r="A182" s="35" t="s">
        <v>53</v>
      </c>
      <c r="B182" s="21">
        <f t="shared" si="7"/>
        <v>0.1</v>
      </c>
      <c r="C182" s="21">
        <f t="shared" si="8"/>
        <v>0.1</v>
      </c>
      <c r="D182" s="21">
        <f t="shared" si="8"/>
        <v>0.1</v>
      </c>
      <c r="E182" s="21">
        <f t="shared" si="8"/>
        <v>0.1</v>
      </c>
      <c r="F182" s="21">
        <f t="shared" si="8"/>
        <v>0.1</v>
      </c>
      <c r="G182" s="21">
        <f t="shared" si="8"/>
        <v>0.1</v>
      </c>
      <c r="H182" s="21">
        <f t="shared" si="8"/>
        <v>0.1</v>
      </c>
      <c r="I182" s="21" t="str">
        <f t="shared" si="9"/>
        <v>Provisioned IOPS per sec</v>
      </c>
    </row>
    <row r="183" spans="1:9" x14ac:dyDescent="0.2">
      <c r="A183" s="35" t="s">
        <v>56</v>
      </c>
      <c r="B183" s="21">
        <f t="shared" si="7"/>
        <v>0.25</v>
      </c>
      <c r="C183" s="21">
        <f t="shared" si="8"/>
        <v>0.25</v>
      </c>
      <c r="D183" s="21">
        <f t="shared" si="8"/>
        <v>0.25</v>
      </c>
      <c r="E183" s="21">
        <f t="shared" si="8"/>
        <v>0.25</v>
      </c>
      <c r="F183" s="21">
        <f t="shared" si="8"/>
        <v>0.25</v>
      </c>
      <c r="G183" s="21">
        <f t="shared" si="8"/>
        <v>0.25</v>
      </c>
      <c r="H183" s="21">
        <f t="shared" si="8"/>
        <v>0.25</v>
      </c>
      <c r="I183" s="21" t="str">
        <f t="shared" si="9"/>
        <v>GB</v>
      </c>
    </row>
    <row r="184" spans="1:9" x14ac:dyDescent="0.2">
      <c r="A184" s="35" t="s">
        <v>57</v>
      </c>
      <c r="B184" s="21">
        <f t="shared" si="7"/>
        <v>0.2</v>
      </c>
      <c r="C184" s="21">
        <f t="shared" si="8"/>
        <v>0.2</v>
      </c>
      <c r="D184" s="21">
        <f t="shared" si="8"/>
        <v>0.2</v>
      </c>
      <c r="E184" s="21">
        <f t="shared" si="8"/>
        <v>0.2</v>
      </c>
      <c r="F184" s="21">
        <f t="shared" si="8"/>
        <v>0.2</v>
      </c>
      <c r="G184" s="21">
        <f t="shared" si="8"/>
        <v>0.2</v>
      </c>
      <c r="H184" s="21">
        <f t="shared" si="8"/>
        <v>0.2</v>
      </c>
      <c r="I184" s="21" t="str">
        <f t="shared" si="9"/>
        <v>Provisioned IOPS per sec</v>
      </c>
    </row>
    <row r="185" spans="1:9" x14ac:dyDescent="0.2">
      <c r="A185" s="35" t="s">
        <v>100</v>
      </c>
      <c r="B185" s="21">
        <f t="shared" ref="B185" si="10">IFERROR(VLOOKUP($A185,CloudwatchCosts,VLOOKUP(SelectedRegion,Region,2,FALSE),FALSE),0)</f>
        <v>3.5</v>
      </c>
      <c r="C185" s="21">
        <f t="shared" ref="C185:H185" si="11">IFERROR(VLOOKUP($A185,CloudwatchCosts,VLOOKUP(SelectedRegion,Region,2,FALSE),FALSE),0)</f>
        <v>3.5</v>
      </c>
      <c r="D185" s="21">
        <f t="shared" si="11"/>
        <v>3.5</v>
      </c>
      <c r="E185" s="21">
        <f t="shared" si="11"/>
        <v>3.5</v>
      </c>
      <c r="F185" s="21">
        <f t="shared" si="11"/>
        <v>3.5</v>
      </c>
      <c r="G185" s="21">
        <f t="shared" si="11"/>
        <v>3.5</v>
      </c>
      <c r="H185" s="21">
        <f t="shared" si="11"/>
        <v>3.5</v>
      </c>
      <c r="I185" s="21">
        <f t="shared" si="9"/>
        <v>0</v>
      </c>
    </row>
    <row r="186" spans="1:9" x14ac:dyDescent="0.2">
      <c r="A186" s="15"/>
      <c r="B186" s="30"/>
      <c r="C186" s="30"/>
      <c r="D186" s="30"/>
      <c r="E186" s="30"/>
      <c r="F186" s="30"/>
      <c r="G186" s="30"/>
      <c r="H186" s="30"/>
      <c r="I186" s="30"/>
    </row>
    <row r="187" spans="1:9" x14ac:dyDescent="0.2">
      <c r="A187" s="35" t="s">
        <v>97</v>
      </c>
      <c r="B187" s="47">
        <f>(B132*B133)/(24*365)</f>
        <v>0.1095890410958904</v>
      </c>
      <c r="C187" s="47">
        <f t="shared" ref="C187:H187" si="12">(B85*B86)/(24*365)</f>
        <v>0.36529680365296802</v>
      </c>
      <c r="D187" s="47">
        <f t="shared" si="12"/>
        <v>0.36529680365296802</v>
      </c>
      <c r="E187" s="47">
        <f t="shared" si="12"/>
        <v>0.18264840182648401</v>
      </c>
      <c r="F187" s="47">
        <f t="shared" si="12"/>
        <v>0</v>
      </c>
      <c r="G187" s="47">
        <f t="shared" si="12"/>
        <v>0.22831050228310501</v>
      </c>
      <c r="H187" s="47">
        <f t="shared" si="12"/>
        <v>0.36529680365296802</v>
      </c>
      <c r="I187" s="30"/>
    </row>
    <row r="188" spans="1:9" x14ac:dyDescent="0.2">
      <c r="A188" s="35" t="s">
        <v>96</v>
      </c>
      <c r="B188" s="48">
        <f>(B132*B133)/(24*365)</f>
        <v>0.1095890410958904</v>
      </c>
      <c r="C188" s="48">
        <f t="shared" ref="C188:H188" si="13">B84*C187</f>
        <v>0.36529680365296802</v>
      </c>
      <c r="D188" s="48">
        <f t="shared" si="13"/>
        <v>0.36529680365296802</v>
      </c>
      <c r="E188" s="48">
        <f t="shared" si="13"/>
        <v>0</v>
      </c>
      <c r="F188" s="48">
        <f t="shared" si="13"/>
        <v>0</v>
      </c>
      <c r="G188" s="48">
        <f t="shared" si="13"/>
        <v>0.45662100456621002</v>
      </c>
      <c r="H188" s="48">
        <f t="shared" si="13"/>
        <v>0.36529680365296802</v>
      </c>
      <c r="I188" s="30"/>
    </row>
    <row r="189" spans="1:9" x14ac:dyDescent="0.2">
      <c r="A189" s="35" t="s">
        <v>98</v>
      </c>
      <c r="B189" s="48">
        <f>SUM(B188:H188)/SUM(B84:G84)</f>
        <v>0.33242009132420092</v>
      </c>
      <c r="C189" s="45"/>
      <c r="D189" s="45"/>
      <c r="E189" s="45"/>
      <c r="F189" s="45"/>
      <c r="G189" s="45"/>
      <c r="H189" s="45"/>
      <c r="I189" s="30"/>
    </row>
    <row r="190" spans="1:9" x14ac:dyDescent="0.2">
      <c r="A190" s="15"/>
      <c r="B190" s="30"/>
      <c r="C190" s="30"/>
      <c r="D190" s="30"/>
      <c r="E190" s="30"/>
      <c r="F190" s="30"/>
      <c r="G190" s="30"/>
      <c r="H190" s="30"/>
    </row>
    <row r="191" spans="1:9" x14ac:dyDescent="0.2">
      <c r="A191" s="12" t="s">
        <v>86</v>
      </c>
      <c r="B191" s="13"/>
      <c r="C191" s="13"/>
      <c r="D191" s="13"/>
      <c r="E191" s="13"/>
      <c r="F191" s="13"/>
      <c r="G191" s="13"/>
      <c r="H191" s="13"/>
      <c r="I191" s="13"/>
    </row>
    <row r="192" spans="1:9" x14ac:dyDescent="0.2">
      <c r="A192" s="15"/>
      <c r="B192" s="30"/>
      <c r="C192" s="30"/>
      <c r="D192" s="30"/>
      <c r="E192" s="30"/>
      <c r="F192" s="30"/>
      <c r="G192" s="30"/>
      <c r="H192" s="30"/>
    </row>
    <row r="193" spans="1:10" x14ac:dyDescent="0.2">
      <c r="A193" s="32" t="s">
        <v>88</v>
      </c>
      <c r="B193" s="49" t="s">
        <v>6</v>
      </c>
      <c r="C193" s="49" t="s">
        <v>10</v>
      </c>
      <c r="D193" s="49" t="s">
        <v>11</v>
      </c>
      <c r="E193" s="49" t="s">
        <v>213</v>
      </c>
      <c r="F193" s="49" t="s">
        <v>13</v>
      </c>
      <c r="G193" s="49" t="s">
        <v>7</v>
      </c>
      <c r="H193" s="49" t="s">
        <v>44</v>
      </c>
      <c r="I193" s="50" t="s">
        <v>1</v>
      </c>
    </row>
    <row r="194" spans="1:10" x14ac:dyDescent="0.2">
      <c r="A194" s="35" t="s">
        <v>67</v>
      </c>
      <c r="B194" s="36">
        <f>CEILING(B106*(24*DaysPerMonth*B164)+(B131*B132*B133/12*(1+DataCapacityOH)*B165),0.01)</f>
        <v>119.9</v>
      </c>
      <c r="C194" s="36">
        <f>B$79*CEILING(B80*(24*DaysPerMonth*C164)+(B81*B85*B86/12*(1+DataCapacityOH)*C165),0.01)</f>
        <v>125.82</v>
      </c>
      <c r="D194" s="36">
        <f>C$79*CEILING(C80*(24*DaysPerMonth*D164)+(C81*C85*C86/12*(1+DataCapacityOH)*D165),0.01)</f>
        <v>263.64</v>
      </c>
      <c r="E194" s="36">
        <f>D$79*CEILING(D80*(24*DaysPerMonth*E164)+(D81*D85*D86/12*(1+DataCapacityOH)*E165),0.01)</f>
        <v>51.27</v>
      </c>
      <c r="F194" s="36">
        <f>E$79*CEILING(E80*(24*DaysPerMonth*F164)+(E81*E85*E86/12*(1+DataCapacityOH)*F165),0.01)</f>
        <v>0</v>
      </c>
      <c r="G194" s="36">
        <f>F$79*CEILING(F80*(24*DaysPerMonth*G164)+(F81*F85*F86/12*(1+DataCapacityOH)*G165),0.01)</f>
        <v>19.97</v>
      </c>
      <c r="H194" s="36">
        <f>IF(AssmtCreationMgmt="No",0,G$79*CEILING(G80*(24*DaysPerMonth*H164)+(G81*G85*G86/12*(1+DataCapacityOH)*H165),0.01))</f>
        <v>31.64</v>
      </c>
      <c r="I194" s="37">
        <f t="shared" ref="I194:I207" si="14">SUM(B194:H194)</f>
        <v>612.24</v>
      </c>
    </row>
    <row r="195" spans="1:10" x14ac:dyDescent="0.2">
      <c r="A195" s="35" t="s">
        <v>83</v>
      </c>
      <c r="B195" s="36">
        <f>CEILING(B131*B132*(B133/12)*B166,0.01)</f>
        <v>1219.2</v>
      </c>
      <c r="C195" s="36">
        <f>CEILING(B81*B85*(B86/12)*C166,0.01)</f>
        <v>32</v>
      </c>
      <c r="D195" s="36">
        <f>CEILING(C81*C85*(C86/12)*D166,0.01)</f>
        <v>2944</v>
      </c>
      <c r="E195" s="36">
        <f>CEILING(D81*D85*(D86/12)*E166,0.01)</f>
        <v>176</v>
      </c>
      <c r="F195" s="36">
        <f>CEILING(E81*E85*(E86/12)*F166,0.01)</f>
        <v>0</v>
      </c>
      <c r="G195" s="36">
        <f>CEILING(F81*F85*(F86/12)*G166,0.01)</f>
        <v>20</v>
      </c>
      <c r="H195" s="36">
        <f>IF(AssmtCreationMgmt="No",0,CEILING(G81*G85*(G86/12)*H166,0.01))</f>
        <v>160</v>
      </c>
      <c r="I195" s="37">
        <f t="shared" si="14"/>
        <v>4551.2</v>
      </c>
    </row>
    <row r="196" spans="1:10" x14ac:dyDescent="0.2">
      <c r="A196" s="35" t="s">
        <v>19</v>
      </c>
      <c r="B196" s="101" t="s">
        <v>313</v>
      </c>
      <c r="C196" s="36">
        <f>B$79*CEILING(B83*24*DaysPerMonth*C167,0.01)</f>
        <v>2336.58</v>
      </c>
      <c r="D196" s="36">
        <f>C$79*CEILING(C83*24*DaysPerMonth*D167,0.01)</f>
        <v>1226.8399999999999</v>
      </c>
      <c r="E196" s="36">
        <f>D$79*CEILING(D83*24*DaysPerMonth*E167,0.01)</f>
        <v>4904.4000000000005</v>
      </c>
      <c r="F196" s="36">
        <f>E$79*CEILING(E83*24*DaysPerMonth*F167,0.01)</f>
        <v>0</v>
      </c>
      <c r="G196" s="36">
        <f>F$79*CEILING(F83*24*DaysPerMonth*G167,0.01)</f>
        <v>389.43</v>
      </c>
      <c r="H196" s="36">
        <f>IF(AssmtCreationMgmt="No",0,G$79*CEILING(G83*24*DaysPerMonth*H167,0.01))</f>
        <v>389.43</v>
      </c>
      <c r="I196" s="37">
        <f t="shared" si="14"/>
        <v>9246.68</v>
      </c>
    </row>
    <row r="197" spans="1:10" x14ac:dyDescent="0.2">
      <c r="A197" s="35" t="s">
        <v>85</v>
      </c>
      <c r="B197" s="101" t="s">
        <v>313</v>
      </c>
      <c r="C197" s="36">
        <f>B$79*CEILING(B84*24*DaysPerMonth*((B85*B86)/(24*365))*C167,0.01)</f>
        <v>426.78</v>
      </c>
      <c r="D197" s="36">
        <f>C$79*CEILING(C84*24*DaysPerMonth*((C85*C86)/(24*365))*D167,0.01)</f>
        <v>224.08</v>
      </c>
      <c r="E197" s="36">
        <f>D$79*CEILING(D84*24*DaysPerMonth*((D85*D86)/(24*365))*E167,0.01)</f>
        <v>0</v>
      </c>
      <c r="F197" s="36">
        <f>E$79*CEILING(E84*24*DaysPerMonth*((E85*E86)/(24*365))*F167,0.01)</f>
        <v>0</v>
      </c>
      <c r="G197" s="36">
        <f>F$79*CEILING(F84*24*DaysPerMonth*((F85*F86)/(24*365))*G167,0.01)</f>
        <v>88.91</v>
      </c>
      <c r="H197" s="36">
        <f>IF(AssmtCreationMgmt="No",0,G$79*CEILING(G84*24*DaysPerMonth*((G85*G86)/(24*365))*H167,0.01))</f>
        <v>71.13</v>
      </c>
      <c r="I197" s="37">
        <f t="shared" si="14"/>
        <v>810.9</v>
      </c>
    </row>
    <row r="198" spans="1:10" x14ac:dyDescent="0.2">
      <c r="A198" s="35" t="s">
        <v>311</v>
      </c>
      <c r="B198" s="104">
        <f>CEILING(B107*24*DaysPerMonth*B168,0.01)</f>
        <v>194.72</v>
      </c>
      <c r="C198" s="101" t="s">
        <v>313</v>
      </c>
      <c r="D198" s="101" t="s">
        <v>313</v>
      </c>
      <c r="E198" s="101" t="s">
        <v>313</v>
      </c>
      <c r="F198" s="101" t="s">
        <v>313</v>
      </c>
      <c r="G198" s="101" t="s">
        <v>313</v>
      </c>
      <c r="H198" s="101" t="s">
        <v>313</v>
      </c>
      <c r="I198" s="37">
        <f>B198</f>
        <v>194.72</v>
      </c>
    </row>
    <row r="199" spans="1:10" x14ac:dyDescent="0.2">
      <c r="A199" s="35" t="s">
        <v>312</v>
      </c>
      <c r="B199" s="104">
        <f>CEILING(B115*24*DaysPerMonth*B169,0.01)</f>
        <v>15187.54</v>
      </c>
      <c r="C199" s="101" t="s">
        <v>313</v>
      </c>
      <c r="D199" s="101" t="s">
        <v>313</v>
      </c>
      <c r="E199" s="101" t="s">
        <v>313</v>
      </c>
      <c r="F199" s="101" t="s">
        <v>313</v>
      </c>
      <c r="G199" s="101" t="s">
        <v>313</v>
      </c>
      <c r="H199" s="101" t="s">
        <v>313</v>
      </c>
      <c r="I199" s="37">
        <f>B199</f>
        <v>15187.54</v>
      </c>
    </row>
    <row r="200" spans="1:10" x14ac:dyDescent="0.2">
      <c r="A200" s="35" t="s">
        <v>69</v>
      </c>
      <c r="B200" s="36">
        <f>CEILING(((B107*B109)+(B115*B117)*B170)+(B107*B110*B171*SecondsPerMonth/10^6)+(B115*B118*B171*SecondsPerMonth/10^6)+(B107*B111*B172)+(B115*B119*B172)+(B107*B112*B173)+(B115*B120*B173)+(B107*B113)+(B115*B121*B173)+(B107*B174)+(B115*B122*B174),0.01)</f>
        <v>51.27</v>
      </c>
      <c r="C200" s="36">
        <f>B$79*CEILING((B83+B84)*((B88*C170)+(B89*C171*SecondsPerMonth/10^6)+(B90*C172)+(B91*C173)+(B92*C174)+(B93*C175)),0.01)</f>
        <v>0</v>
      </c>
      <c r="D200" s="36">
        <f>C$79*CEILING((C83+C84)*((C88*D170)+(C89*D171*SecondsPerMonth/10^6)+(C90*D172)+(C91*D173)+(C92*D174)+(C93*D175)),0.01)</f>
        <v>0</v>
      </c>
      <c r="E200" s="36">
        <f>D$79*CEILING((D83+D84)*((D88*E170)+(D89*E171*SecondsPerMonth/10^6)+(D90*E172)+(D91*E173)+(D92*E174)+(D93*E175)),0.01)</f>
        <v>128.86000000000001</v>
      </c>
      <c r="F200" s="36">
        <f>E$79*CEILING((E83+E84)*((E88*F170)+(E89*F171*SecondsPerMonth/10^6)+(E90*F172)+(E91*F173)+(E92*F174)+(E93*F175)),0.01)</f>
        <v>113.25</v>
      </c>
      <c r="G200" s="36">
        <f>F$79*CEILING((F83+F84)*((F88*G170)+(F89*G171*SecondsPerMonth/10^6)+(F90*G172)+(F91*G173)+(F92*G174)+(F93*G175)),0.01)</f>
        <v>0</v>
      </c>
      <c r="H200" s="36">
        <f>IF(AssmtCreationMgmt="No",0,G$79*CEILING((G83+G84)*((G88*H170)+(G89*H171*SecondsPerMonth/10^6)+(G90*H172)+(G91*H173)+(G92*H174)+(G93*H175)),0.01))</f>
        <v>0</v>
      </c>
      <c r="I200" s="37">
        <f t="shared" si="14"/>
        <v>293.38</v>
      </c>
    </row>
    <row r="201" spans="1:10" x14ac:dyDescent="0.2">
      <c r="A201" s="35" t="s">
        <v>8</v>
      </c>
      <c r="B201" s="101" t="s">
        <v>313</v>
      </c>
      <c r="C201" s="36">
        <f t="shared" ref="C201:H201" si="15">B$79*CEILING(C176*24*DaysPerMonth,0.01)</f>
        <v>1625.0400000000002</v>
      </c>
      <c r="D201" s="36">
        <f t="shared" si="15"/>
        <v>270.84000000000003</v>
      </c>
      <c r="E201" s="36">
        <f t="shared" si="15"/>
        <v>0</v>
      </c>
      <c r="F201" s="36">
        <f t="shared" si="15"/>
        <v>0</v>
      </c>
      <c r="G201" s="36">
        <f t="shared" si="15"/>
        <v>0</v>
      </c>
      <c r="H201" s="36">
        <f t="shared" si="15"/>
        <v>241.56</v>
      </c>
      <c r="I201" s="37">
        <f>SUM(C201:H201)</f>
        <v>2137.44</v>
      </c>
    </row>
    <row r="202" spans="1:10" x14ac:dyDescent="0.2">
      <c r="A202" s="35" t="s">
        <v>70</v>
      </c>
      <c r="B202" s="101" t="s">
        <v>313</v>
      </c>
      <c r="C202" s="36">
        <f t="shared" ref="C202:H202" si="16">B$79*CEILING((B97*C179)+(B98*C180*SecondsPerMonth/1000000)+(B99*C181)+(B100*C182)+(B101*C183)+(B102*C184),0.01)</f>
        <v>1318.5</v>
      </c>
      <c r="D202" s="36">
        <f t="shared" si="16"/>
        <v>223.5</v>
      </c>
      <c r="E202" s="36">
        <f t="shared" si="16"/>
        <v>0</v>
      </c>
      <c r="F202" s="36">
        <f t="shared" si="16"/>
        <v>0</v>
      </c>
      <c r="G202" s="36">
        <f t="shared" si="16"/>
        <v>85</v>
      </c>
      <c r="H202" s="36">
        <f t="shared" si="16"/>
        <v>850</v>
      </c>
      <c r="I202" s="37">
        <f>SUM(C202:H202)</f>
        <v>2477</v>
      </c>
    </row>
    <row r="203" spans="1:10" x14ac:dyDescent="0.2">
      <c r="A203" s="35" t="s">
        <v>326</v>
      </c>
      <c r="B203" s="36">
        <f>CEILING(B177*24*DaysPerMonth,0.01)</f>
        <v>270.84000000000003</v>
      </c>
      <c r="C203" s="101" t="s">
        <v>313</v>
      </c>
      <c r="D203" s="101" t="s">
        <v>313</v>
      </c>
      <c r="E203" s="101" t="s">
        <v>313</v>
      </c>
      <c r="F203" s="101" t="s">
        <v>313</v>
      </c>
      <c r="G203" s="101" t="s">
        <v>313</v>
      </c>
      <c r="H203" s="101" t="s">
        <v>313</v>
      </c>
      <c r="I203" s="37">
        <f t="shared" si="14"/>
        <v>270.84000000000003</v>
      </c>
      <c r="J203" s="46"/>
    </row>
    <row r="204" spans="1:10" x14ac:dyDescent="0.2">
      <c r="A204" s="35" t="s">
        <v>327</v>
      </c>
      <c r="B204" s="36">
        <f>CEILING((B140*B179)+(B141*B180*SecondsPerMonth/1000000)+(B142*B181)+(B143*B182)+(B144*B183)+(B145*B184),0.01)</f>
        <v>301.82</v>
      </c>
      <c r="C204" s="101" t="s">
        <v>313</v>
      </c>
      <c r="D204" s="101" t="s">
        <v>313</v>
      </c>
      <c r="E204" s="101" t="s">
        <v>313</v>
      </c>
      <c r="F204" s="101" t="s">
        <v>313</v>
      </c>
      <c r="G204" s="101" t="s">
        <v>313</v>
      </c>
      <c r="H204" s="101" t="s">
        <v>313</v>
      </c>
      <c r="I204" s="37">
        <f t="shared" si="14"/>
        <v>301.82</v>
      </c>
    </row>
    <row r="205" spans="1:10" x14ac:dyDescent="0.2">
      <c r="A205" s="35" t="s">
        <v>328</v>
      </c>
      <c r="B205" s="36">
        <f>CEILING(B178*24*DaysPerMonth,0.01)</f>
        <v>424.56</v>
      </c>
      <c r="C205" s="101" t="s">
        <v>313</v>
      </c>
      <c r="D205" s="101" t="s">
        <v>313</v>
      </c>
      <c r="E205" s="101" t="s">
        <v>313</v>
      </c>
      <c r="F205" s="101" t="s">
        <v>313</v>
      </c>
      <c r="G205" s="101" t="s">
        <v>313</v>
      </c>
      <c r="H205" s="101" t="s">
        <v>313</v>
      </c>
      <c r="I205" s="37">
        <f t="shared" ref="I205:I206" si="17">SUM(B205:H205)</f>
        <v>424.56</v>
      </c>
      <c r="J205" s="46"/>
    </row>
    <row r="206" spans="1:10" x14ac:dyDescent="0.2">
      <c r="A206" s="35" t="s">
        <v>329</v>
      </c>
      <c r="B206" s="36">
        <f>CEILING((B150*B179)+(B151*B180*SecondsPerMonth/1000000)+(B152*B181)+(B153*B182)+(B154*B183)+(B155*B184),0.01)</f>
        <v>567.20000000000005</v>
      </c>
      <c r="C206" s="101" t="s">
        <v>313</v>
      </c>
      <c r="D206" s="101" t="s">
        <v>313</v>
      </c>
      <c r="E206" s="101" t="s">
        <v>313</v>
      </c>
      <c r="F206" s="101" t="s">
        <v>313</v>
      </c>
      <c r="G206" s="101" t="s">
        <v>313</v>
      </c>
      <c r="H206" s="101" t="s">
        <v>313</v>
      </c>
      <c r="I206" s="37">
        <f t="shared" si="17"/>
        <v>567.20000000000005</v>
      </c>
    </row>
    <row r="207" spans="1:10" x14ac:dyDescent="0.2">
      <c r="A207" s="35" t="s">
        <v>100</v>
      </c>
      <c r="B207" s="36">
        <f>CEILING((B107+B115)*B185,0.01)</f>
        <v>140</v>
      </c>
      <c r="C207" s="36">
        <f>B$79*CEILING((B83+B84)*C185,0.01)</f>
        <v>63</v>
      </c>
      <c r="D207" s="36">
        <f>C$79*CEILING((C83+C84)*D185,0.01)</f>
        <v>10.5</v>
      </c>
      <c r="E207" s="36">
        <f>D$79*CEILING((D83+D84)*E185,0.01)</f>
        <v>14</v>
      </c>
      <c r="F207" s="36">
        <f>E$79*CEILING((E83+E84)*F185,0.01)</f>
        <v>3.5</v>
      </c>
      <c r="G207" s="36">
        <f>F$79*CEILING((F83+F84)*G185,0.01)</f>
        <v>14</v>
      </c>
      <c r="H207" s="36">
        <f>IF(AssmtCreationMgmt="No",0,G$79*CEILING((G83+G84)*H185,0.01))</f>
        <v>10.5</v>
      </c>
      <c r="I207" s="37">
        <f t="shared" si="14"/>
        <v>255.5</v>
      </c>
    </row>
    <row r="208" spans="1:10" x14ac:dyDescent="0.2">
      <c r="A208" s="35" t="s">
        <v>21</v>
      </c>
      <c r="B208" s="36">
        <f t="shared" ref="B208:I208" si="18">SUM(B194:B207)</f>
        <v>18477.050000000003</v>
      </c>
      <c r="C208" s="36">
        <f t="shared" si="18"/>
        <v>5927.72</v>
      </c>
      <c r="D208" s="36">
        <f t="shared" si="18"/>
        <v>5163.3999999999996</v>
      </c>
      <c r="E208" s="36">
        <f>SUM(E194:E207)</f>
        <v>5274.5300000000007</v>
      </c>
      <c r="F208" s="36">
        <f>SUM(F194:F207)</f>
        <v>116.75</v>
      </c>
      <c r="G208" s="36">
        <f>SUM(G194:G207)</f>
        <v>617.30999999999995</v>
      </c>
      <c r="H208" s="36">
        <f t="shared" si="18"/>
        <v>1754.26</v>
      </c>
      <c r="I208" s="36">
        <f t="shared" si="18"/>
        <v>37331.01999999999</v>
      </c>
    </row>
    <row r="209" spans="1:9" x14ac:dyDescent="0.2">
      <c r="A209" s="35" t="s">
        <v>89</v>
      </c>
      <c r="B209" s="38"/>
      <c r="C209" s="39"/>
      <c r="D209" s="39"/>
      <c r="E209" s="39"/>
      <c r="F209" s="39"/>
      <c r="G209" s="40"/>
      <c r="H209" s="39"/>
      <c r="I209" s="37">
        <f>CEILING(I208*VLOOKUP(I208,SupportCost,2,TRUE),0.01)</f>
        <v>3733.11</v>
      </c>
    </row>
    <row r="210" spans="1:9" x14ac:dyDescent="0.2">
      <c r="A210" s="35" t="s">
        <v>90</v>
      </c>
      <c r="B210" s="38"/>
      <c r="C210" s="39"/>
      <c r="D210" s="39"/>
      <c r="E210" s="39"/>
      <c r="F210" s="39"/>
      <c r="G210" s="40"/>
      <c r="H210" s="39"/>
      <c r="I210" s="37">
        <f>CEILING(UbuntuSupportCost/12,0.01)</f>
        <v>6250</v>
      </c>
    </row>
    <row r="211" spans="1:9" x14ac:dyDescent="0.2">
      <c r="A211" s="35" t="s">
        <v>1</v>
      </c>
      <c r="B211" s="38"/>
      <c r="C211" s="39"/>
      <c r="D211" s="39"/>
      <c r="E211" s="39"/>
      <c r="F211" s="39"/>
      <c r="G211" s="40"/>
      <c r="H211" s="39"/>
      <c r="I211" s="37">
        <f>SUM(I208:I210)</f>
        <v>47314.12999999999</v>
      </c>
    </row>
    <row r="212" spans="1:9" x14ac:dyDescent="0.2">
      <c r="A212" s="15"/>
      <c r="B212" s="51"/>
      <c r="C212" s="51"/>
      <c r="D212" s="51"/>
      <c r="E212" s="51"/>
      <c r="F212" s="51"/>
      <c r="G212" s="51"/>
      <c r="H212" s="51"/>
      <c r="I212" s="52"/>
    </row>
    <row r="213" spans="1:9" x14ac:dyDescent="0.2">
      <c r="A213" s="12" t="s">
        <v>101</v>
      </c>
      <c r="B213" s="53"/>
      <c r="C213" s="53"/>
      <c r="D213" s="53"/>
      <c r="E213" s="53"/>
      <c r="F213" s="53"/>
      <c r="G213" s="53"/>
      <c r="H213" s="53"/>
      <c r="I213" s="53"/>
    </row>
    <row r="214" spans="1:9" x14ac:dyDescent="0.2">
      <c r="A214" s="15"/>
      <c r="B214" s="51"/>
      <c r="C214" s="51"/>
      <c r="D214" s="51"/>
      <c r="E214" s="51"/>
      <c r="F214" s="51"/>
      <c r="G214" s="51"/>
      <c r="H214" s="51"/>
      <c r="I214" s="52"/>
    </row>
    <row r="215" spans="1:9" x14ac:dyDescent="0.2">
      <c r="A215" s="32" t="s">
        <v>88</v>
      </c>
      <c r="B215" s="49" t="s">
        <v>6</v>
      </c>
      <c r="C215" s="49" t="s">
        <v>10</v>
      </c>
      <c r="D215" s="49" t="s">
        <v>11</v>
      </c>
      <c r="E215" s="49" t="s">
        <v>12</v>
      </c>
      <c r="F215" s="49" t="s">
        <v>13</v>
      </c>
      <c r="G215" s="49" t="s">
        <v>7</v>
      </c>
      <c r="H215" s="49" t="s">
        <v>44</v>
      </c>
      <c r="I215" s="50" t="s">
        <v>1</v>
      </c>
    </row>
    <row r="216" spans="1:9" x14ac:dyDescent="0.2">
      <c r="A216" s="35" t="s">
        <v>67</v>
      </c>
      <c r="B216" s="36">
        <f>B194*12</f>
        <v>1438.8000000000002</v>
      </c>
      <c r="C216" s="36">
        <f t="shared" ref="C216:I216" si="19">C194*12</f>
        <v>1509.84</v>
      </c>
      <c r="D216" s="36">
        <f t="shared" si="19"/>
        <v>3163.68</v>
      </c>
      <c r="E216" s="36">
        <f t="shared" ref="E216:G219" si="20">E194*12</f>
        <v>615.24</v>
      </c>
      <c r="F216" s="36">
        <f t="shared" si="20"/>
        <v>0</v>
      </c>
      <c r="G216" s="36">
        <f t="shared" si="20"/>
        <v>239.64</v>
      </c>
      <c r="H216" s="36">
        <f t="shared" si="19"/>
        <v>379.68</v>
      </c>
      <c r="I216" s="36">
        <f t="shared" si="19"/>
        <v>7346.88</v>
      </c>
    </row>
    <row r="217" spans="1:9" x14ac:dyDescent="0.2">
      <c r="A217" s="35" t="s">
        <v>83</v>
      </c>
      <c r="B217" s="36">
        <f t="shared" ref="B217:I217" si="21">B195*12</f>
        <v>14630.400000000001</v>
      </c>
      <c r="C217" s="36">
        <f t="shared" si="21"/>
        <v>384</v>
      </c>
      <c r="D217" s="36">
        <f t="shared" si="21"/>
        <v>35328</v>
      </c>
      <c r="E217" s="36">
        <f t="shared" si="20"/>
        <v>2112</v>
      </c>
      <c r="F217" s="36">
        <f t="shared" si="20"/>
        <v>0</v>
      </c>
      <c r="G217" s="36">
        <f t="shared" si="20"/>
        <v>240</v>
      </c>
      <c r="H217" s="36">
        <f t="shared" si="21"/>
        <v>1920</v>
      </c>
      <c r="I217" s="36">
        <f t="shared" si="21"/>
        <v>54614.399999999994</v>
      </c>
    </row>
    <row r="218" spans="1:9" x14ac:dyDescent="0.2">
      <c r="A218" s="35" t="s">
        <v>19</v>
      </c>
      <c r="B218" s="100" t="s">
        <v>313</v>
      </c>
      <c r="C218" s="36">
        <f>C196*12</f>
        <v>28038.959999999999</v>
      </c>
      <c r="D218" s="36">
        <f>D196*12</f>
        <v>14722.079999999998</v>
      </c>
      <c r="E218" s="36">
        <f t="shared" si="20"/>
        <v>58852.800000000003</v>
      </c>
      <c r="F218" s="36">
        <f t="shared" si="20"/>
        <v>0</v>
      </c>
      <c r="G218" s="36">
        <f t="shared" si="20"/>
        <v>4673.16</v>
      </c>
      <c r="H218" s="36">
        <f>H196*12</f>
        <v>4673.16</v>
      </c>
      <c r="I218" s="36">
        <f>I196*12</f>
        <v>110960.16</v>
      </c>
    </row>
    <row r="219" spans="1:9" x14ac:dyDescent="0.2">
      <c r="A219" s="35" t="s">
        <v>85</v>
      </c>
      <c r="B219" s="100" t="s">
        <v>313</v>
      </c>
      <c r="C219" s="36">
        <f>C197*12</f>
        <v>5121.3599999999997</v>
      </c>
      <c r="D219" s="36">
        <f>D197*12</f>
        <v>2688.96</v>
      </c>
      <c r="E219" s="36">
        <f t="shared" si="20"/>
        <v>0</v>
      </c>
      <c r="F219" s="36">
        <f t="shared" si="20"/>
        <v>0</v>
      </c>
      <c r="G219" s="36">
        <f t="shared" si="20"/>
        <v>1066.92</v>
      </c>
      <c r="H219" s="36">
        <f>H197*12</f>
        <v>853.56</v>
      </c>
      <c r="I219" s="36">
        <f>I197*12</f>
        <v>9730.7999999999993</v>
      </c>
    </row>
    <row r="220" spans="1:9" x14ac:dyDescent="0.2">
      <c r="A220" s="35" t="s">
        <v>311</v>
      </c>
      <c r="B220" s="102">
        <f>B198*12</f>
        <v>2336.64</v>
      </c>
      <c r="C220" s="100" t="s">
        <v>313</v>
      </c>
      <c r="D220" s="100" t="s">
        <v>313</v>
      </c>
      <c r="E220" s="100" t="s">
        <v>313</v>
      </c>
      <c r="F220" s="100" t="s">
        <v>313</v>
      </c>
      <c r="G220" s="100" t="s">
        <v>313</v>
      </c>
      <c r="H220" s="100" t="s">
        <v>313</v>
      </c>
      <c r="I220" s="36"/>
    </row>
    <row r="221" spans="1:9" x14ac:dyDescent="0.2">
      <c r="A221" s="35" t="s">
        <v>312</v>
      </c>
      <c r="B221" s="102">
        <f>B199*12</f>
        <v>182250.48</v>
      </c>
      <c r="C221" s="100" t="s">
        <v>313</v>
      </c>
      <c r="D221" s="100" t="s">
        <v>313</v>
      </c>
      <c r="E221" s="100" t="s">
        <v>313</v>
      </c>
      <c r="F221" s="100" t="s">
        <v>313</v>
      </c>
      <c r="G221" s="100" t="s">
        <v>313</v>
      </c>
      <c r="H221" s="100" t="s">
        <v>313</v>
      </c>
      <c r="I221" s="36"/>
    </row>
    <row r="222" spans="1:9" x14ac:dyDescent="0.2">
      <c r="A222" s="35" t="s">
        <v>69</v>
      </c>
      <c r="B222" s="36">
        <f t="shared" ref="B222:I222" si="22">B200*12</f>
        <v>615.24</v>
      </c>
      <c r="C222" s="36">
        <f t="shared" si="22"/>
        <v>0</v>
      </c>
      <c r="D222" s="36">
        <f t="shared" si="22"/>
        <v>0</v>
      </c>
      <c r="E222" s="36">
        <f>E200*12</f>
        <v>1546.3200000000002</v>
      </c>
      <c r="F222" s="36">
        <f>F200*12</f>
        <v>1359</v>
      </c>
      <c r="G222" s="36">
        <f>G200*12</f>
        <v>0</v>
      </c>
      <c r="H222" s="36">
        <f t="shared" si="22"/>
        <v>0</v>
      </c>
      <c r="I222" s="36">
        <f t="shared" si="22"/>
        <v>3520.56</v>
      </c>
    </row>
    <row r="223" spans="1:9" x14ac:dyDescent="0.2">
      <c r="A223" s="35" t="s">
        <v>8</v>
      </c>
      <c r="B223" s="100" t="s">
        <v>313</v>
      </c>
      <c r="C223" s="36">
        <f t="shared" ref="C223:I223" si="23">C202*12</f>
        <v>15822</v>
      </c>
      <c r="D223" s="36">
        <f t="shared" si="23"/>
        <v>2682</v>
      </c>
      <c r="E223" s="36">
        <f t="shared" ref="E223:G223" si="24">E202*12</f>
        <v>0</v>
      </c>
      <c r="F223" s="36">
        <f t="shared" si="24"/>
        <v>0</v>
      </c>
      <c r="G223" s="36">
        <f t="shared" si="24"/>
        <v>1020</v>
      </c>
      <c r="H223" s="36">
        <f t="shared" si="23"/>
        <v>10200</v>
      </c>
      <c r="I223" s="36">
        <f t="shared" si="23"/>
        <v>29724</v>
      </c>
    </row>
    <row r="224" spans="1:9" x14ac:dyDescent="0.2">
      <c r="A224" s="35" t="s">
        <v>326</v>
      </c>
      <c r="B224" s="36">
        <f>B203*12</f>
        <v>3250.0800000000004</v>
      </c>
      <c r="C224" s="100" t="s">
        <v>313</v>
      </c>
      <c r="D224" s="100" t="s">
        <v>313</v>
      </c>
      <c r="E224" s="100" t="s">
        <v>313</v>
      </c>
      <c r="F224" s="100" t="s">
        <v>313</v>
      </c>
      <c r="G224" s="100" t="s">
        <v>313</v>
      </c>
      <c r="H224" s="100" t="s">
        <v>313</v>
      </c>
      <c r="I224" s="36">
        <f>I202*12</f>
        <v>29724</v>
      </c>
    </row>
    <row r="225" spans="1:9" x14ac:dyDescent="0.2">
      <c r="A225" s="35" t="s">
        <v>330</v>
      </c>
      <c r="B225" s="36">
        <f>B205*12</f>
        <v>5094.72</v>
      </c>
      <c r="C225" s="100" t="s">
        <v>313</v>
      </c>
      <c r="D225" s="100" t="s">
        <v>313</v>
      </c>
      <c r="E225" s="100" t="s">
        <v>313</v>
      </c>
      <c r="F225" s="100" t="s">
        <v>313</v>
      </c>
      <c r="G225" s="100" t="s">
        <v>313</v>
      </c>
      <c r="H225" s="100" t="s">
        <v>313</v>
      </c>
      <c r="I225" s="36">
        <f>I203*12</f>
        <v>3250.0800000000004</v>
      </c>
    </row>
    <row r="226" spans="1:9" x14ac:dyDescent="0.2">
      <c r="A226" s="35" t="s">
        <v>70</v>
      </c>
      <c r="B226" s="100" t="s">
        <v>313</v>
      </c>
      <c r="C226" s="36">
        <f t="shared" ref="C226:H226" si="25">C202*12</f>
        <v>15822</v>
      </c>
      <c r="D226" s="36">
        <f t="shared" si="25"/>
        <v>2682</v>
      </c>
      <c r="E226" s="36">
        <f t="shared" si="25"/>
        <v>0</v>
      </c>
      <c r="F226" s="36">
        <f t="shared" si="25"/>
        <v>0</v>
      </c>
      <c r="G226" s="36">
        <f t="shared" si="25"/>
        <v>1020</v>
      </c>
      <c r="H226" s="36">
        <f t="shared" si="25"/>
        <v>10200</v>
      </c>
      <c r="I226" s="36">
        <f t="shared" ref="I226:I227" si="26">I203*12</f>
        <v>3250.0800000000004</v>
      </c>
    </row>
    <row r="227" spans="1:9" x14ac:dyDescent="0.2">
      <c r="A227" s="35" t="s">
        <v>327</v>
      </c>
      <c r="B227" s="36">
        <f>B204*12</f>
        <v>3621.84</v>
      </c>
      <c r="C227" s="100" t="s">
        <v>313</v>
      </c>
      <c r="D227" s="100" t="s">
        <v>313</v>
      </c>
      <c r="E227" s="100" t="s">
        <v>313</v>
      </c>
      <c r="F227" s="100" t="s">
        <v>313</v>
      </c>
      <c r="G227" s="100" t="s">
        <v>313</v>
      </c>
      <c r="H227" s="100" t="s">
        <v>313</v>
      </c>
      <c r="I227" s="36">
        <f t="shared" si="26"/>
        <v>3621.84</v>
      </c>
    </row>
    <row r="228" spans="1:9" x14ac:dyDescent="0.2">
      <c r="A228" s="35" t="s">
        <v>331</v>
      </c>
      <c r="B228" s="36">
        <f>B206*12</f>
        <v>6806.4000000000005</v>
      </c>
      <c r="C228" s="100" t="s">
        <v>313</v>
      </c>
      <c r="D228" s="100" t="s">
        <v>313</v>
      </c>
      <c r="E228" s="100" t="s">
        <v>313</v>
      </c>
      <c r="F228" s="100" t="s">
        <v>313</v>
      </c>
      <c r="G228" s="100" t="s">
        <v>313</v>
      </c>
      <c r="H228" s="100" t="s">
        <v>313</v>
      </c>
      <c r="I228" s="36">
        <f>I204*12</f>
        <v>3621.84</v>
      </c>
    </row>
    <row r="229" spans="1:9" x14ac:dyDescent="0.2">
      <c r="A229" s="35" t="s">
        <v>100</v>
      </c>
      <c r="B229" s="36">
        <f>B207*12</f>
        <v>1680</v>
      </c>
      <c r="C229" s="36">
        <f t="shared" ref="C229:H229" si="27">C207*12</f>
        <v>756</v>
      </c>
      <c r="D229" s="36">
        <f t="shared" si="27"/>
        <v>126</v>
      </c>
      <c r="E229" s="36">
        <f>E207*12</f>
        <v>168</v>
      </c>
      <c r="F229" s="36">
        <f>F207*12</f>
        <v>42</v>
      </c>
      <c r="G229" s="36">
        <f>G207*12</f>
        <v>168</v>
      </c>
      <c r="H229" s="36">
        <f t="shared" si="27"/>
        <v>126</v>
      </c>
      <c r="I229" s="36">
        <f>I207*12</f>
        <v>3066</v>
      </c>
    </row>
    <row r="230" spans="1:9" x14ac:dyDescent="0.2">
      <c r="A230" s="35" t="s">
        <v>21</v>
      </c>
      <c r="B230" s="36">
        <f>SUM(B216:B229)</f>
        <v>221724.59999999998</v>
      </c>
      <c r="C230" s="36">
        <f t="shared" ref="C230:H230" si="28">SUM(C216:C228)</f>
        <v>66698.16</v>
      </c>
      <c r="D230" s="36">
        <f t="shared" si="28"/>
        <v>61266.719999999994</v>
      </c>
      <c r="E230" s="36">
        <f>SUM(E216:E228)</f>
        <v>63126.36</v>
      </c>
      <c r="F230" s="36">
        <f>SUM(F216:F228)</f>
        <v>1359</v>
      </c>
      <c r="G230" s="36">
        <f>SUM(G216:G228)</f>
        <v>8259.7200000000012</v>
      </c>
      <c r="H230" s="36">
        <f t="shared" si="28"/>
        <v>28226.400000000001</v>
      </c>
      <c r="I230" s="36">
        <f>I208*12</f>
        <v>447972.23999999987</v>
      </c>
    </row>
    <row r="231" spans="1:9" x14ac:dyDescent="0.2">
      <c r="A231" s="35" t="s">
        <v>89</v>
      </c>
      <c r="B231" s="38"/>
      <c r="C231" s="39"/>
      <c r="D231" s="39"/>
      <c r="E231" s="39"/>
      <c r="F231" s="39"/>
      <c r="G231" s="40"/>
      <c r="H231" s="39"/>
      <c r="I231" s="36">
        <f>I209*12</f>
        <v>44797.32</v>
      </c>
    </row>
    <row r="232" spans="1:9" x14ac:dyDescent="0.2">
      <c r="A232" s="35" t="s">
        <v>90</v>
      </c>
      <c r="B232" s="38"/>
      <c r="C232" s="39"/>
      <c r="D232" s="39"/>
      <c r="E232" s="39"/>
      <c r="F232" s="39"/>
      <c r="G232" s="40"/>
      <c r="H232" s="39"/>
      <c r="I232" s="36">
        <f>UbuntuSupportCost</f>
        <v>75000</v>
      </c>
    </row>
    <row r="233" spans="1:9" x14ac:dyDescent="0.2">
      <c r="A233" s="35" t="s">
        <v>1</v>
      </c>
      <c r="B233" s="38"/>
      <c r="C233" s="39"/>
      <c r="D233" s="39"/>
      <c r="E233" s="39"/>
      <c r="F233" s="39"/>
      <c r="G233" s="40"/>
      <c r="H233" s="39"/>
      <c r="I233" s="37">
        <f>SUM(I230:I232)</f>
        <v>567769.55999999982</v>
      </c>
    </row>
  </sheetData>
  <mergeCells count="9">
    <mergeCell ref="C107:D122"/>
    <mergeCell ref="A149:B149"/>
    <mergeCell ref="A156:B156"/>
    <mergeCell ref="A104:B104"/>
    <mergeCell ref="A105:B105"/>
    <mergeCell ref="A134:B134"/>
    <mergeCell ref="A136:B136"/>
    <mergeCell ref="A139:B139"/>
    <mergeCell ref="A146:B146"/>
  </mergeCells>
  <dataValidations count="7">
    <dataValidation type="list" allowBlank="1" showInputMessage="1" showErrorMessage="1" sqref="B75">
      <formula1>RegionNames</formula1>
    </dataValidation>
    <dataValidation type="list" allowBlank="1" showInputMessage="1" showErrorMessage="1" sqref="B82:G82 B108 B116">
      <formula1>EC2names</formula1>
    </dataValidation>
    <dataValidation type="list" allowBlank="1" showInputMessage="1" showErrorMessage="1" sqref="B95:G95">
      <formula1>RDSnames</formula1>
    </dataValidation>
    <dataValidation type="list" allowBlank="1" showInputMessage="1" showErrorMessage="1" sqref="B71">
      <formula1>YesNoList</formula1>
    </dataValidation>
    <dataValidation type="list" allowBlank="1" showInputMessage="1" showErrorMessage="1" sqref="B135">
      <formula1>ElasticacheNames</formula1>
    </dataValidation>
    <dataValidation type="list" allowBlank="1" showInputMessage="1" showErrorMessage="1" sqref="B147 B137">
      <formula1>DbEngineNames</formula1>
    </dataValidation>
    <dataValidation type="list" allowBlank="1" showInputMessage="1" showErrorMessage="1" sqref="B138 B148">
      <formula1>INDIRECT(B137)</formula1>
    </dataValidation>
  </dataValidations>
  <pageMargins left="0.5" right="0.5" top="1.5" bottom="1" header="0.3" footer="0.3"/>
  <pageSetup paperSize="17" scale="77" fitToHeight="0" orientation="landscape" r:id="rId1"/>
  <headerFooter>
    <oddHeader>&amp;L&amp;G&amp;R&amp;"-,Bold"&amp;14Smarter Balanced Hosting Requirements 
Cost Calculation Spreadsheet Version 5</oddHeader>
    <oddFooter>&amp;CPage &amp;P of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Q115"/>
  <sheetViews>
    <sheetView topLeftCell="B83" workbookViewId="0">
      <selection activeCell="M108" sqref="M108:Q115"/>
    </sheetView>
  </sheetViews>
  <sheetFormatPr baseColWidth="10" defaultColWidth="8.83203125" defaultRowHeight="15" x14ac:dyDescent="0.2"/>
  <cols>
    <col min="1" max="1" width="65.5" bestFit="1" customWidth="1"/>
    <col min="2" max="2" width="12.5" style="1" bestFit="1" customWidth="1"/>
    <col min="3" max="3" width="12" style="1" bestFit="1" customWidth="1"/>
    <col min="5" max="5" width="32.1640625" style="73" bestFit="1" customWidth="1"/>
    <col min="6" max="6" width="35.83203125" style="73" bestFit="1" customWidth="1"/>
    <col min="7" max="7" width="10.33203125" style="7" bestFit="1" customWidth="1"/>
    <col min="8" max="8" width="12" style="7" bestFit="1" customWidth="1"/>
    <col min="9" max="9" width="7.5" style="7" bestFit="1" customWidth="1"/>
    <col min="10" max="10" width="23.33203125" style="7" bestFit="1" customWidth="1"/>
    <col min="12" max="12" width="32.1640625" style="11" bestFit="1" customWidth="1"/>
    <col min="13" max="13" width="35.83203125" style="11" bestFit="1" customWidth="1"/>
    <col min="14" max="14" width="10.33203125" bestFit="1" customWidth="1"/>
    <col min="15" max="15" width="12" bestFit="1" customWidth="1"/>
    <col min="16" max="16" width="7.5" bestFit="1" customWidth="1"/>
    <col min="17" max="17" width="23.33203125" bestFit="1" customWidth="1"/>
  </cols>
  <sheetData>
    <row r="1" spans="1:17" x14ac:dyDescent="0.2">
      <c r="A1" s="2" t="s">
        <v>92</v>
      </c>
      <c r="B1" s="16" t="s">
        <v>93</v>
      </c>
      <c r="E1" s="10"/>
      <c r="F1" s="10"/>
      <c r="G1" s="71"/>
      <c r="H1" s="71"/>
      <c r="I1" s="71"/>
      <c r="J1" s="71"/>
      <c r="L1" s="2" t="s">
        <v>45</v>
      </c>
      <c r="M1" s="2" t="s">
        <v>20</v>
      </c>
      <c r="N1" s="16" t="s">
        <v>16</v>
      </c>
      <c r="O1" s="16" t="s">
        <v>17</v>
      </c>
      <c r="P1" s="16" t="s">
        <v>31</v>
      </c>
      <c r="Q1" s="16" t="s">
        <v>40</v>
      </c>
    </row>
    <row r="2" spans="1:17" x14ac:dyDescent="0.2">
      <c r="A2" s="3" t="s">
        <v>16</v>
      </c>
      <c r="B2" s="17">
        <v>2</v>
      </c>
      <c r="E2" s="15"/>
      <c r="F2" s="15"/>
      <c r="G2" s="72"/>
      <c r="H2" s="72"/>
      <c r="I2" s="72"/>
      <c r="J2" s="73"/>
      <c r="L2" s="5" t="s">
        <v>63</v>
      </c>
      <c r="M2" s="5" t="s">
        <v>63</v>
      </c>
      <c r="N2" s="67">
        <v>0</v>
      </c>
      <c r="O2" s="67">
        <v>0</v>
      </c>
      <c r="P2" s="67">
        <v>0</v>
      </c>
      <c r="Q2" s="24" t="s">
        <v>41</v>
      </c>
    </row>
    <row r="3" spans="1:17" x14ac:dyDescent="0.2">
      <c r="A3" s="3" t="s">
        <v>17</v>
      </c>
      <c r="B3" s="17">
        <v>3</v>
      </c>
      <c r="E3" s="15"/>
      <c r="F3" s="15"/>
      <c r="G3" s="72"/>
      <c r="H3" s="72"/>
      <c r="I3" s="72"/>
      <c r="J3" s="74"/>
      <c r="L3" s="5" t="s">
        <v>15</v>
      </c>
      <c r="M3" s="5" t="s">
        <v>24</v>
      </c>
      <c r="N3" s="70">
        <v>0.12</v>
      </c>
      <c r="O3" s="70">
        <v>0.12</v>
      </c>
      <c r="P3" s="70">
        <v>0.12</v>
      </c>
      <c r="Q3" s="25" t="s">
        <v>42</v>
      </c>
    </row>
    <row r="4" spans="1:17" x14ac:dyDescent="0.2">
      <c r="A4" s="3" t="s">
        <v>31</v>
      </c>
      <c r="B4" s="17">
        <v>4</v>
      </c>
      <c r="E4" s="7"/>
      <c r="F4" s="7"/>
      <c r="G4" s="75"/>
      <c r="H4" s="75"/>
      <c r="I4" s="75"/>
      <c r="J4" s="73"/>
      <c r="L4" s="5" t="s">
        <v>0</v>
      </c>
      <c r="M4" s="5" t="s">
        <v>0</v>
      </c>
      <c r="N4" s="68">
        <v>2.5000000000000001E-2</v>
      </c>
      <c r="O4" s="68">
        <v>2.8000000000000001E-2</v>
      </c>
      <c r="P4" s="68">
        <v>2.5000000000000001E-2</v>
      </c>
      <c r="Q4" s="24" t="s">
        <v>41</v>
      </c>
    </row>
    <row r="5" spans="1:17" x14ac:dyDescent="0.2">
      <c r="E5" s="7"/>
      <c r="F5" s="7"/>
      <c r="G5" s="76"/>
      <c r="H5" s="76"/>
      <c r="I5" s="76"/>
      <c r="J5" s="74"/>
      <c r="L5" s="5" t="s">
        <v>0</v>
      </c>
      <c r="M5" s="5" t="s">
        <v>36</v>
      </c>
      <c r="N5" s="69">
        <v>8.0000000000000002E-3</v>
      </c>
      <c r="O5" s="69">
        <v>8.0000000000000002E-3</v>
      </c>
      <c r="P5" s="69">
        <v>8.0000000000000002E-3</v>
      </c>
      <c r="Q5" s="25" t="s">
        <v>42</v>
      </c>
    </row>
    <row r="6" spans="1:17" x14ac:dyDescent="0.2">
      <c r="A6" s="2" t="s">
        <v>94</v>
      </c>
      <c r="B6" s="16" t="s">
        <v>22</v>
      </c>
      <c r="E6" s="7"/>
      <c r="F6" s="7"/>
      <c r="G6" s="76"/>
      <c r="H6" s="76"/>
      <c r="I6" s="76"/>
      <c r="J6" s="73"/>
      <c r="L6" s="5" t="s">
        <v>164</v>
      </c>
      <c r="M6" s="5" t="s">
        <v>168</v>
      </c>
      <c r="N6" s="67">
        <v>6.7000000000000004E-2</v>
      </c>
      <c r="O6" s="67">
        <v>7.6999999999999999E-2</v>
      </c>
      <c r="P6" s="67">
        <v>6.7000000000000004E-2</v>
      </c>
      <c r="Q6" s="24" t="s">
        <v>41</v>
      </c>
    </row>
    <row r="7" spans="1:17" x14ac:dyDescent="0.2">
      <c r="A7" s="22" t="s">
        <v>90</v>
      </c>
      <c r="B7" s="18">
        <v>75000</v>
      </c>
      <c r="E7" s="7"/>
      <c r="F7" s="7"/>
      <c r="G7" s="76"/>
      <c r="H7" s="76"/>
      <c r="I7" s="76"/>
      <c r="J7" s="73"/>
      <c r="L7" s="5" t="s">
        <v>164</v>
      </c>
      <c r="M7" s="5" t="s">
        <v>169</v>
      </c>
      <c r="N7" s="67">
        <v>0.13300000000000001</v>
      </c>
      <c r="O7" s="67">
        <v>0.154</v>
      </c>
      <c r="P7" s="67">
        <v>0.13300000000000001</v>
      </c>
      <c r="Q7" s="24" t="s">
        <v>41</v>
      </c>
    </row>
    <row r="8" spans="1:17" x14ac:dyDescent="0.2">
      <c r="E8" s="7"/>
      <c r="F8" s="7"/>
      <c r="G8" s="76"/>
      <c r="H8" s="76"/>
      <c r="I8" s="76"/>
      <c r="J8" s="73"/>
      <c r="L8" s="5" t="s">
        <v>164</v>
      </c>
      <c r="M8" s="5" t="s">
        <v>170</v>
      </c>
      <c r="N8" s="67">
        <v>0.26600000000000001</v>
      </c>
      <c r="O8" s="67">
        <v>0.308</v>
      </c>
      <c r="P8" s="67">
        <v>0.26600000000000001</v>
      </c>
      <c r="Q8" s="24" t="s">
        <v>41</v>
      </c>
    </row>
    <row r="9" spans="1:17" x14ac:dyDescent="0.2">
      <c r="A9" s="2" t="s">
        <v>91</v>
      </c>
      <c r="B9" s="16" t="s">
        <v>22</v>
      </c>
      <c r="E9" s="7"/>
      <c r="F9" s="7"/>
      <c r="G9" s="76"/>
      <c r="H9" s="76"/>
      <c r="I9" s="76"/>
      <c r="J9" s="73"/>
      <c r="L9" s="5" t="s">
        <v>164</v>
      </c>
      <c r="M9" s="5" t="s">
        <v>171</v>
      </c>
      <c r="N9" s="67">
        <v>0.53200000000000003</v>
      </c>
      <c r="O9" s="67">
        <v>0.61599999999999999</v>
      </c>
      <c r="P9" s="67">
        <v>0.53200000000000003</v>
      </c>
      <c r="Q9" s="24" t="s">
        <v>41</v>
      </c>
    </row>
    <row r="10" spans="1:17" x14ac:dyDescent="0.2">
      <c r="A10" s="22">
        <v>0</v>
      </c>
      <c r="B10" s="19">
        <v>0.1</v>
      </c>
      <c r="E10" s="7"/>
      <c r="F10" s="7"/>
      <c r="G10" s="76"/>
      <c r="H10" s="76"/>
      <c r="I10" s="76"/>
      <c r="J10" s="73"/>
      <c r="L10" s="5" t="s">
        <v>164</v>
      </c>
      <c r="M10" s="5" t="s">
        <v>214</v>
      </c>
      <c r="N10" s="67">
        <v>0.12</v>
      </c>
      <c r="O10" s="67">
        <v>0.14000000000000001</v>
      </c>
      <c r="P10" s="67">
        <v>0.12</v>
      </c>
      <c r="Q10" s="24" t="s">
        <v>41</v>
      </c>
    </row>
    <row r="11" spans="1:17" x14ac:dyDescent="0.2">
      <c r="A11" s="22">
        <v>150000</v>
      </c>
      <c r="B11" s="19">
        <v>7.0000000000000007E-2</v>
      </c>
      <c r="E11" s="7"/>
      <c r="F11" s="7"/>
      <c r="G11" s="76"/>
      <c r="H11" s="76"/>
      <c r="I11" s="76"/>
      <c r="J11" s="73"/>
      <c r="L11" s="5" t="s">
        <v>164</v>
      </c>
      <c r="M11" s="5" t="s">
        <v>215</v>
      </c>
      <c r="N11" s="67">
        <v>0.23899999999999999</v>
      </c>
      <c r="O11" s="67">
        <v>0.27900000000000003</v>
      </c>
      <c r="P11" s="67">
        <v>0.23899999999999999</v>
      </c>
      <c r="Q11" s="24" t="s">
        <v>41</v>
      </c>
    </row>
    <row r="12" spans="1:17" x14ac:dyDescent="0.2">
      <c r="A12" s="22">
        <v>500000</v>
      </c>
      <c r="B12" s="19">
        <v>0.05</v>
      </c>
      <c r="E12" s="7"/>
      <c r="F12" s="7"/>
      <c r="G12" s="76"/>
      <c r="H12" s="76"/>
      <c r="I12" s="76"/>
      <c r="J12" s="73"/>
      <c r="L12" s="5" t="s">
        <v>164</v>
      </c>
      <c r="M12" s="5" t="s">
        <v>216</v>
      </c>
      <c r="N12" s="67">
        <v>0.47899999999999998</v>
      </c>
      <c r="O12" s="67">
        <v>0.55900000000000005</v>
      </c>
      <c r="P12" s="67">
        <v>0.47899999999999998</v>
      </c>
      <c r="Q12" s="24" t="s">
        <v>41</v>
      </c>
    </row>
    <row r="13" spans="1:17" x14ac:dyDescent="0.2">
      <c r="A13" s="22">
        <v>1000000</v>
      </c>
      <c r="B13" s="19">
        <v>0.03</v>
      </c>
      <c r="E13" s="7"/>
      <c r="F13" s="7"/>
      <c r="G13" s="76"/>
      <c r="H13" s="76"/>
      <c r="I13" s="76"/>
      <c r="J13" s="73"/>
      <c r="L13" s="5" t="s">
        <v>164</v>
      </c>
      <c r="M13" s="5" t="s">
        <v>217</v>
      </c>
      <c r="N13" s="67">
        <v>0.95799999999999996</v>
      </c>
      <c r="O13" s="67">
        <v>1.117</v>
      </c>
      <c r="P13" s="67">
        <v>0.95799999999999996</v>
      </c>
      <c r="Q13" s="24" t="s">
        <v>41</v>
      </c>
    </row>
    <row r="14" spans="1:17" x14ac:dyDescent="0.2">
      <c r="E14" s="7"/>
      <c r="F14" s="7"/>
      <c r="G14" s="76"/>
      <c r="H14" s="76"/>
      <c r="I14" s="76"/>
      <c r="J14" s="73"/>
      <c r="L14" s="5" t="s">
        <v>164</v>
      </c>
      <c r="M14" s="5" t="s">
        <v>218</v>
      </c>
      <c r="N14" s="67">
        <v>2.3940000000000001</v>
      </c>
      <c r="O14" s="67">
        <v>2.7930000000000001</v>
      </c>
      <c r="P14" s="67">
        <v>2.3940000000000001</v>
      </c>
      <c r="Q14" s="24" t="s">
        <v>41</v>
      </c>
    </row>
    <row r="15" spans="1:17" x14ac:dyDescent="0.2">
      <c r="A15" s="2" t="s">
        <v>25</v>
      </c>
      <c r="B15" s="16" t="s">
        <v>30</v>
      </c>
      <c r="E15" s="7"/>
      <c r="F15" s="7"/>
      <c r="G15" s="76"/>
      <c r="H15" s="76"/>
      <c r="I15" s="76"/>
      <c r="J15" s="73"/>
      <c r="L15" s="5" t="s">
        <v>165</v>
      </c>
      <c r="M15" s="5" t="s">
        <v>172</v>
      </c>
      <c r="N15" s="67">
        <v>0.105</v>
      </c>
      <c r="O15" s="67">
        <v>0.12</v>
      </c>
      <c r="P15" s="67">
        <v>0.105</v>
      </c>
      <c r="Q15" s="24" t="s">
        <v>41</v>
      </c>
    </row>
    <row r="16" spans="1:17" x14ac:dyDescent="0.2">
      <c r="A16" s="3" t="s">
        <v>27</v>
      </c>
      <c r="B16" s="20">
        <v>0.1</v>
      </c>
      <c r="E16" s="7"/>
      <c r="F16" s="7"/>
      <c r="G16" s="76"/>
      <c r="H16" s="76"/>
      <c r="I16" s="76"/>
      <c r="J16" s="73"/>
      <c r="L16" s="5" t="s">
        <v>165</v>
      </c>
      <c r="M16" s="5" t="s">
        <v>173</v>
      </c>
      <c r="N16" s="67">
        <v>0.21</v>
      </c>
      <c r="O16" s="67">
        <v>0.23899999999999999</v>
      </c>
      <c r="P16" s="67">
        <v>0.21</v>
      </c>
      <c r="Q16" s="24" t="s">
        <v>41</v>
      </c>
    </row>
    <row r="17" spans="1:17" x14ac:dyDescent="0.2">
      <c r="A17" s="4" t="s">
        <v>28</v>
      </c>
      <c r="B17" s="20">
        <v>0.125</v>
      </c>
      <c r="E17" s="7"/>
      <c r="F17" s="7"/>
      <c r="G17" s="76"/>
      <c r="H17" s="76"/>
      <c r="I17" s="76"/>
      <c r="J17" s="73"/>
      <c r="L17" s="5" t="s">
        <v>165</v>
      </c>
      <c r="M17" s="5" t="s">
        <v>174</v>
      </c>
      <c r="N17" s="67">
        <v>0.42</v>
      </c>
      <c r="O17" s="67">
        <v>0.47799999999999998</v>
      </c>
      <c r="P17" s="67">
        <v>0.42</v>
      </c>
      <c r="Q17" s="24" t="s">
        <v>41</v>
      </c>
    </row>
    <row r="18" spans="1:17" x14ac:dyDescent="0.2">
      <c r="A18" s="3" t="s">
        <v>29</v>
      </c>
      <c r="B18" s="17">
        <v>9.5000000000000001E-2</v>
      </c>
      <c r="E18" s="7"/>
      <c r="F18" s="7"/>
      <c r="G18" s="76"/>
      <c r="H18" s="76"/>
      <c r="I18" s="76"/>
      <c r="J18" s="73"/>
      <c r="L18" s="5" t="s">
        <v>165</v>
      </c>
      <c r="M18" s="5" t="s">
        <v>175</v>
      </c>
      <c r="N18" s="67">
        <v>0.84</v>
      </c>
      <c r="O18" s="67">
        <v>0.95599999999999996</v>
      </c>
      <c r="P18" s="67">
        <v>0.84</v>
      </c>
      <c r="Q18" s="24" t="s">
        <v>41</v>
      </c>
    </row>
    <row r="19" spans="1:17" x14ac:dyDescent="0.2">
      <c r="E19" s="7"/>
      <c r="F19" s="7"/>
      <c r="G19" s="76"/>
      <c r="H19" s="76"/>
      <c r="I19" s="76"/>
      <c r="J19" s="73"/>
      <c r="L19" s="5" t="s">
        <v>165</v>
      </c>
      <c r="M19" s="5" t="s">
        <v>176</v>
      </c>
      <c r="N19" s="67">
        <v>1.68</v>
      </c>
      <c r="O19" s="67">
        <v>1.9119999999999999</v>
      </c>
      <c r="P19" s="67">
        <v>1.68</v>
      </c>
      <c r="Q19" s="24" t="s">
        <v>41</v>
      </c>
    </row>
    <row r="20" spans="1:17" x14ac:dyDescent="0.2">
      <c r="A20" s="2" t="s">
        <v>43</v>
      </c>
      <c r="B20" s="16" t="s">
        <v>22</v>
      </c>
      <c r="C20" s="16" t="s">
        <v>26</v>
      </c>
      <c r="E20" s="7"/>
      <c r="F20" s="7"/>
      <c r="G20" s="76"/>
      <c r="H20" s="76"/>
      <c r="I20" s="76"/>
      <c r="J20" s="73"/>
      <c r="L20" s="5" t="s">
        <v>165</v>
      </c>
      <c r="M20" s="5" t="s">
        <v>219</v>
      </c>
      <c r="N20" s="67">
        <v>0.105</v>
      </c>
      <c r="O20" s="67">
        <v>0.13100000000000001</v>
      </c>
      <c r="P20" s="67">
        <v>0.105</v>
      </c>
      <c r="Q20" s="24" t="s">
        <v>41</v>
      </c>
    </row>
    <row r="21" spans="1:17" x14ac:dyDescent="0.2">
      <c r="A21" s="22" t="s">
        <v>87</v>
      </c>
      <c r="B21" s="31">
        <v>30.5</v>
      </c>
      <c r="C21" s="20">
        <v>0.1</v>
      </c>
      <c r="E21" s="7"/>
      <c r="F21" s="7"/>
      <c r="G21" s="76"/>
      <c r="H21" s="76"/>
      <c r="I21" s="76"/>
      <c r="J21" s="73"/>
      <c r="L21" s="5" t="s">
        <v>165</v>
      </c>
      <c r="M21" s="5" t="s">
        <v>220</v>
      </c>
      <c r="N21" s="67">
        <v>0.20899999999999999</v>
      </c>
      <c r="O21" s="67">
        <v>0.26200000000000001</v>
      </c>
      <c r="P21" s="67">
        <v>0.20899999999999999</v>
      </c>
      <c r="Q21" s="24" t="s">
        <v>41</v>
      </c>
    </row>
    <row r="22" spans="1:17" x14ac:dyDescent="0.2">
      <c r="A22" s="22" t="s">
        <v>43</v>
      </c>
      <c r="B22" s="18">
        <f>ROUND(60*60*24*30.5,0)</f>
        <v>2635200</v>
      </c>
      <c r="C22" s="20">
        <v>0.1</v>
      </c>
      <c r="E22" s="7"/>
      <c r="F22" s="7"/>
      <c r="G22" s="76"/>
      <c r="H22" s="76"/>
      <c r="I22" s="76"/>
      <c r="J22" s="73"/>
      <c r="L22" s="5" t="s">
        <v>165</v>
      </c>
      <c r="M22" s="5" t="s">
        <v>221</v>
      </c>
      <c r="N22" s="67">
        <v>0.41899999999999998</v>
      </c>
      <c r="O22" s="67">
        <v>0.52400000000000002</v>
      </c>
      <c r="P22" s="67">
        <v>0.41899999999999998</v>
      </c>
      <c r="Q22" s="24" t="s">
        <v>41</v>
      </c>
    </row>
    <row r="23" spans="1:17" x14ac:dyDescent="0.2">
      <c r="C23" s="17"/>
      <c r="E23" s="7"/>
      <c r="F23" s="7"/>
      <c r="G23" s="76"/>
      <c r="H23" s="76"/>
      <c r="I23" s="76"/>
      <c r="J23" s="73"/>
      <c r="L23" s="5" t="s">
        <v>165</v>
      </c>
      <c r="M23" s="5" t="s">
        <v>222</v>
      </c>
      <c r="N23" s="67">
        <v>0.83799999999999997</v>
      </c>
      <c r="O23" s="67">
        <v>1.0489999999999999</v>
      </c>
      <c r="P23" s="67">
        <v>0.83799999999999997</v>
      </c>
      <c r="Q23" s="24" t="s">
        <v>41</v>
      </c>
    </row>
    <row r="24" spans="1:17" x14ac:dyDescent="0.2">
      <c r="A24" s="2" t="s">
        <v>120</v>
      </c>
      <c r="B24" s="16" t="s">
        <v>121</v>
      </c>
      <c r="C24" s="16" t="s">
        <v>309</v>
      </c>
      <c r="E24" s="7"/>
      <c r="F24" s="7"/>
      <c r="G24" s="76"/>
      <c r="H24" s="76"/>
      <c r="I24" s="76"/>
      <c r="J24" s="73"/>
      <c r="L24" s="5" t="s">
        <v>165</v>
      </c>
      <c r="M24" s="5" t="s">
        <v>223</v>
      </c>
      <c r="N24" s="67">
        <v>1.675</v>
      </c>
      <c r="O24" s="67">
        <v>2.0979999999999999</v>
      </c>
      <c r="P24" s="67">
        <v>1.675</v>
      </c>
      <c r="Q24" s="24" t="s">
        <v>41</v>
      </c>
    </row>
    <row r="25" spans="1:17" x14ac:dyDescent="0.2">
      <c r="A25" s="22" t="s">
        <v>120</v>
      </c>
      <c r="B25" s="18">
        <v>6850</v>
      </c>
      <c r="C25" s="17">
        <v>45000</v>
      </c>
      <c r="E25" s="7"/>
      <c r="F25" s="7"/>
      <c r="G25" s="76"/>
      <c r="H25" s="76"/>
      <c r="I25" s="76"/>
      <c r="J25" s="73"/>
      <c r="L25" s="5" t="s">
        <v>166</v>
      </c>
      <c r="M25" s="5" t="s">
        <v>177</v>
      </c>
      <c r="N25" s="67">
        <v>0.16600000000000001</v>
      </c>
      <c r="O25" s="67">
        <v>0.185</v>
      </c>
      <c r="P25" s="67">
        <v>0.16600000000000001</v>
      </c>
      <c r="Q25" s="24" t="s">
        <v>41</v>
      </c>
    </row>
    <row r="26" spans="1:17" x14ac:dyDescent="0.2">
      <c r="E26" s="7"/>
      <c r="F26" s="7"/>
      <c r="G26" s="76"/>
      <c r="H26" s="76"/>
      <c r="I26" s="76"/>
      <c r="J26" s="73"/>
      <c r="L26" s="5" t="s">
        <v>166</v>
      </c>
      <c r="M26" s="5" t="s">
        <v>178</v>
      </c>
      <c r="N26" s="67">
        <v>0.33300000000000002</v>
      </c>
      <c r="O26" s="67">
        <v>0.371</v>
      </c>
      <c r="P26" s="67">
        <v>0.33300000000000002</v>
      </c>
      <c r="Q26" s="24" t="s">
        <v>41</v>
      </c>
    </row>
    <row r="27" spans="1:17" x14ac:dyDescent="0.2">
      <c r="A27" s="2" t="s">
        <v>125</v>
      </c>
      <c r="B27" s="16" t="s">
        <v>121</v>
      </c>
      <c r="E27" s="7"/>
      <c r="F27" s="7"/>
      <c r="L27" s="5" t="s">
        <v>166</v>
      </c>
      <c r="M27" s="5" t="s">
        <v>179</v>
      </c>
      <c r="N27" s="67">
        <v>0.66500000000000004</v>
      </c>
      <c r="O27" s="67">
        <v>0.74099999999999999</v>
      </c>
      <c r="P27" s="67">
        <v>0.66500000000000004</v>
      </c>
      <c r="Q27" s="24" t="s">
        <v>41</v>
      </c>
    </row>
    <row r="28" spans="1:17" x14ac:dyDescent="0.2">
      <c r="A28" s="5" t="s">
        <v>125</v>
      </c>
      <c r="B28" s="18">
        <v>500</v>
      </c>
      <c r="E28" s="15"/>
      <c r="F28" s="15"/>
      <c r="G28" s="72"/>
      <c r="H28" s="72"/>
      <c r="I28" s="72"/>
      <c r="J28" s="77"/>
      <c r="L28" s="5" t="s">
        <v>166</v>
      </c>
      <c r="M28" s="5" t="s">
        <v>180</v>
      </c>
      <c r="N28" s="67">
        <v>1.33</v>
      </c>
      <c r="O28" s="67">
        <v>1.482</v>
      </c>
      <c r="P28" s="67">
        <v>1.33</v>
      </c>
      <c r="Q28" s="24" t="s">
        <v>41</v>
      </c>
    </row>
    <row r="29" spans="1:17" x14ac:dyDescent="0.2">
      <c r="E29" s="15"/>
      <c r="F29" s="15"/>
      <c r="G29" s="72"/>
      <c r="H29" s="72"/>
      <c r="I29" s="72"/>
      <c r="J29" s="77"/>
      <c r="L29" s="5" t="s">
        <v>166</v>
      </c>
      <c r="M29" s="5" t="s">
        <v>181</v>
      </c>
      <c r="N29" s="67">
        <v>2.66</v>
      </c>
      <c r="O29" s="67">
        <v>2.964</v>
      </c>
      <c r="P29" s="67">
        <v>2.66</v>
      </c>
      <c r="Q29" s="24" t="s">
        <v>41</v>
      </c>
    </row>
    <row r="30" spans="1:17" x14ac:dyDescent="0.2">
      <c r="A30" s="2" t="s">
        <v>133</v>
      </c>
      <c r="B30" s="16" t="s">
        <v>121</v>
      </c>
      <c r="E30" s="15"/>
      <c r="F30" s="15"/>
      <c r="G30" s="72"/>
      <c r="H30" s="72"/>
      <c r="I30" s="72"/>
      <c r="J30" s="77"/>
      <c r="L30" s="5" t="s">
        <v>167</v>
      </c>
      <c r="M30" s="5" t="s">
        <v>182</v>
      </c>
      <c r="N30" s="67">
        <v>0.85299999999999998</v>
      </c>
      <c r="O30" s="67">
        <v>0.93799999999999994</v>
      </c>
      <c r="P30" s="67">
        <v>0.85299999999999998</v>
      </c>
      <c r="Q30" s="24" t="s">
        <v>41</v>
      </c>
    </row>
    <row r="31" spans="1:17" x14ac:dyDescent="0.2">
      <c r="A31" s="5" t="s">
        <v>133</v>
      </c>
      <c r="B31" s="18">
        <v>100</v>
      </c>
      <c r="E31" s="15"/>
      <c r="F31" s="15"/>
      <c r="G31" s="72"/>
      <c r="H31" s="72"/>
      <c r="I31" s="72"/>
      <c r="J31" s="77"/>
      <c r="L31" s="5" t="s">
        <v>167</v>
      </c>
      <c r="M31" s="5" t="s">
        <v>183</v>
      </c>
      <c r="N31" s="67">
        <v>1.7050000000000001</v>
      </c>
      <c r="O31" s="67">
        <v>1.8759999999999999</v>
      </c>
      <c r="P31" s="67">
        <v>1.7050000000000001</v>
      </c>
      <c r="Q31" s="24" t="s">
        <v>41</v>
      </c>
    </row>
    <row r="32" spans="1:17" x14ac:dyDescent="0.2">
      <c r="E32" s="15"/>
      <c r="F32" s="15"/>
      <c r="G32" s="72"/>
      <c r="H32" s="72"/>
      <c r="I32" s="72"/>
      <c r="J32" s="77"/>
      <c r="L32" s="5" t="s">
        <v>167</v>
      </c>
      <c r="M32" s="5" t="s">
        <v>184</v>
      </c>
      <c r="N32" s="67">
        <v>3.41</v>
      </c>
      <c r="O32" s="67">
        <v>3.7509999999999999</v>
      </c>
      <c r="P32" s="67">
        <v>3.41</v>
      </c>
      <c r="Q32" s="24" t="s">
        <v>41</v>
      </c>
    </row>
    <row r="33" spans="1:17" x14ac:dyDescent="0.2">
      <c r="A33" s="2" t="s">
        <v>134</v>
      </c>
      <c r="B33" s="16" t="s">
        <v>121</v>
      </c>
      <c r="E33" s="15"/>
      <c r="F33" s="15"/>
      <c r="G33" s="72"/>
      <c r="H33" s="72"/>
      <c r="I33" s="72"/>
      <c r="J33" s="77"/>
      <c r="L33" s="5" t="s">
        <v>167</v>
      </c>
      <c r="M33" s="5" t="s">
        <v>185</v>
      </c>
      <c r="N33" s="67">
        <v>6.82</v>
      </c>
      <c r="O33" s="67">
        <v>7.5019999999999998</v>
      </c>
      <c r="P33" s="67">
        <v>6.82</v>
      </c>
      <c r="Q33" s="24" t="s">
        <v>41</v>
      </c>
    </row>
    <row r="34" spans="1:17" x14ac:dyDescent="0.2">
      <c r="A34" s="5" t="s">
        <v>134</v>
      </c>
      <c r="B34" s="18">
        <v>100</v>
      </c>
      <c r="E34" s="7"/>
      <c r="F34" s="7"/>
      <c r="L34"/>
      <c r="M34"/>
    </row>
    <row r="35" spans="1:17" x14ac:dyDescent="0.2">
      <c r="E35" s="15"/>
      <c r="F35" s="15"/>
      <c r="G35" s="72"/>
      <c r="H35" s="72"/>
      <c r="I35" s="72"/>
      <c r="J35" s="73"/>
      <c r="L35" s="5" t="s">
        <v>46</v>
      </c>
      <c r="M35" s="5" t="s">
        <v>48</v>
      </c>
      <c r="N35" s="67">
        <v>0.1</v>
      </c>
      <c r="O35" s="67">
        <v>0.12</v>
      </c>
      <c r="P35" s="67">
        <v>0.1</v>
      </c>
      <c r="Q35" s="23" t="s">
        <v>37</v>
      </c>
    </row>
    <row r="36" spans="1:17" x14ac:dyDescent="0.2">
      <c r="A36" s="2" t="s">
        <v>146</v>
      </c>
      <c r="B36" s="16" t="s">
        <v>121</v>
      </c>
      <c r="E36" s="15"/>
      <c r="F36" s="15"/>
      <c r="G36" s="72"/>
      <c r="H36" s="72"/>
      <c r="I36" s="72"/>
      <c r="J36" s="73"/>
      <c r="L36" s="5" t="s">
        <v>46</v>
      </c>
      <c r="M36" s="5" t="s">
        <v>49</v>
      </c>
      <c r="N36" s="70">
        <v>0.05</v>
      </c>
      <c r="O36" s="70">
        <v>0.08</v>
      </c>
      <c r="P36" s="70">
        <v>0.05</v>
      </c>
      <c r="Q36" s="23" t="s">
        <v>82</v>
      </c>
    </row>
    <row r="37" spans="1:17" x14ac:dyDescent="0.2">
      <c r="A37" s="5" t="s">
        <v>146</v>
      </c>
      <c r="B37" s="18">
        <v>50</v>
      </c>
      <c r="E37" s="15"/>
      <c r="F37" s="15"/>
      <c r="G37" s="72"/>
      <c r="H37" s="72"/>
      <c r="I37" s="72"/>
      <c r="J37" s="73"/>
      <c r="L37" s="5" t="s">
        <v>46</v>
      </c>
      <c r="M37" s="5" t="s">
        <v>74</v>
      </c>
      <c r="N37" s="67">
        <v>9.5000000000000001E-2</v>
      </c>
      <c r="O37" s="67">
        <v>0.105</v>
      </c>
      <c r="P37" s="67">
        <v>9.5000000000000001E-2</v>
      </c>
      <c r="Q37" s="23" t="s">
        <v>37</v>
      </c>
    </row>
    <row r="38" spans="1:17" x14ac:dyDescent="0.2">
      <c r="E38" s="15"/>
      <c r="F38" s="15"/>
      <c r="G38" s="72"/>
      <c r="H38" s="72"/>
      <c r="I38" s="72"/>
      <c r="J38" s="73"/>
      <c r="L38" s="5" t="s">
        <v>46</v>
      </c>
      <c r="M38" s="5" t="s">
        <v>50</v>
      </c>
      <c r="N38" s="67">
        <v>0.125</v>
      </c>
      <c r="O38" s="67">
        <v>0.13800000000000001</v>
      </c>
      <c r="P38" s="67">
        <v>0.125</v>
      </c>
      <c r="Q38" s="23" t="s">
        <v>37</v>
      </c>
    </row>
    <row r="39" spans="1:17" x14ac:dyDescent="0.2">
      <c r="A39" s="2" t="s">
        <v>149</v>
      </c>
      <c r="B39" s="16"/>
      <c r="E39" s="15"/>
      <c r="F39" s="15"/>
      <c r="G39" s="72"/>
      <c r="H39" s="72"/>
      <c r="I39" s="72"/>
      <c r="J39" s="73"/>
      <c r="L39" s="5" t="s">
        <v>46</v>
      </c>
      <c r="M39" s="5" t="s">
        <v>51</v>
      </c>
      <c r="N39" s="67">
        <v>6.5000000000000002E-2</v>
      </c>
      <c r="O39" s="67">
        <v>7.1999999999999995E-2</v>
      </c>
      <c r="P39" s="67">
        <v>6.5000000000000002E-2</v>
      </c>
      <c r="Q39" s="23" t="s">
        <v>39</v>
      </c>
    </row>
    <row r="40" spans="1:17" x14ac:dyDescent="0.2">
      <c r="A40" s="5"/>
      <c r="B40" s="18" t="s">
        <v>150</v>
      </c>
      <c r="E40" s="15"/>
      <c r="F40" s="15"/>
      <c r="G40" s="72"/>
      <c r="H40" s="72"/>
      <c r="I40" s="72"/>
      <c r="J40" s="73"/>
      <c r="L40" s="5" t="s">
        <v>46</v>
      </c>
      <c r="M40" s="5" t="s">
        <v>75</v>
      </c>
      <c r="N40" s="67">
        <v>9.5000000000000001E-2</v>
      </c>
      <c r="O40" s="67">
        <v>0.105</v>
      </c>
      <c r="P40" s="67">
        <v>9.5000000000000001E-2</v>
      </c>
      <c r="Q40" s="23" t="s">
        <v>37</v>
      </c>
    </row>
    <row r="41" spans="1:17" x14ac:dyDescent="0.2">
      <c r="A41" s="5"/>
      <c r="B41" s="18" t="s">
        <v>151</v>
      </c>
      <c r="E41" s="15"/>
      <c r="F41" s="15"/>
      <c r="G41" s="72"/>
      <c r="H41" s="72"/>
      <c r="I41" s="72"/>
      <c r="J41" s="73"/>
      <c r="L41"/>
      <c r="M41"/>
    </row>
    <row r="42" spans="1:17" x14ac:dyDescent="0.2">
      <c r="E42" s="15"/>
      <c r="F42" s="15"/>
      <c r="G42" s="72"/>
      <c r="H42" s="72"/>
      <c r="I42" s="72"/>
      <c r="J42" s="73"/>
      <c r="L42" s="5" t="s">
        <v>62</v>
      </c>
      <c r="M42" s="5" t="s">
        <v>62</v>
      </c>
      <c r="N42" s="67">
        <v>0</v>
      </c>
      <c r="O42" s="67">
        <v>0</v>
      </c>
      <c r="P42" s="67">
        <v>0</v>
      </c>
      <c r="Q42" s="24" t="s">
        <v>41</v>
      </c>
    </row>
    <row r="43" spans="1:17" x14ac:dyDescent="0.2">
      <c r="A43" s="3" t="s">
        <v>289</v>
      </c>
      <c r="E43" s="15"/>
      <c r="F43" s="15"/>
      <c r="G43" s="72"/>
      <c r="H43" s="72"/>
      <c r="I43" s="72"/>
      <c r="J43" s="73"/>
      <c r="L43" s="5" t="s">
        <v>47</v>
      </c>
      <c r="M43" s="5" t="s">
        <v>186</v>
      </c>
      <c r="N43" s="67">
        <v>0.09</v>
      </c>
      <c r="O43" s="67">
        <v>9.5000000000000001E-2</v>
      </c>
      <c r="P43" s="67">
        <v>0.09</v>
      </c>
      <c r="Q43" s="24" t="s">
        <v>41</v>
      </c>
    </row>
    <row r="44" spans="1:17" x14ac:dyDescent="0.2">
      <c r="A44" s="3" t="s">
        <v>290</v>
      </c>
      <c r="E44" s="15"/>
      <c r="F44" s="15"/>
      <c r="G44" s="72"/>
      <c r="H44" s="72"/>
      <c r="I44" s="72"/>
      <c r="J44" s="73"/>
      <c r="L44" s="5" t="s">
        <v>47</v>
      </c>
      <c r="M44" s="5" t="s">
        <v>187</v>
      </c>
      <c r="N44" s="67">
        <v>0.185</v>
      </c>
      <c r="O44" s="67">
        <v>0.2</v>
      </c>
      <c r="P44" s="67">
        <v>0.185</v>
      </c>
      <c r="Q44" s="24" t="s">
        <v>41</v>
      </c>
    </row>
    <row r="45" spans="1:17" x14ac:dyDescent="0.2">
      <c r="A45" s="3" t="s">
        <v>291</v>
      </c>
      <c r="E45" s="15"/>
      <c r="F45" s="15"/>
      <c r="G45" s="72"/>
      <c r="H45" s="72"/>
      <c r="I45" s="72"/>
      <c r="J45" s="73"/>
      <c r="L45" s="5" t="s">
        <v>47</v>
      </c>
      <c r="M45" s="5" t="s">
        <v>188</v>
      </c>
      <c r="N45" s="67">
        <v>0.37</v>
      </c>
      <c r="O45" s="67">
        <v>0.4</v>
      </c>
      <c r="P45" s="67">
        <v>0.37</v>
      </c>
      <c r="Q45" s="24" t="s">
        <v>41</v>
      </c>
    </row>
    <row r="46" spans="1:17" x14ac:dyDescent="0.2">
      <c r="E46" s="15"/>
      <c r="F46" s="15"/>
      <c r="G46" s="72"/>
      <c r="H46" s="72"/>
      <c r="I46" s="72"/>
      <c r="J46" s="73"/>
      <c r="L46" s="5" t="s">
        <v>47</v>
      </c>
      <c r="M46" s="5" t="s">
        <v>189</v>
      </c>
      <c r="N46" s="67">
        <v>0.74</v>
      </c>
      <c r="O46" s="67">
        <v>0.79500000000000004</v>
      </c>
      <c r="P46" s="67">
        <v>0.74</v>
      </c>
      <c r="Q46" s="24" t="s">
        <v>41</v>
      </c>
    </row>
    <row r="47" spans="1:17" x14ac:dyDescent="0.2">
      <c r="A47" s="2" t="s">
        <v>300</v>
      </c>
      <c r="B47" s="16" t="s">
        <v>121</v>
      </c>
      <c r="E47" s="15"/>
      <c r="F47" s="15"/>
      <c r="G47" s="72"/>
      <c r="H47" s="72"/>
      <c r="I47" s="72"/>
      <c r="J47" s="73"/>
      <c r="L47" s="5" t="s">
        <v>47</v>
      </c>
      <c r="M47" s="5" t="s">
        <v>229</v>
      </c>
      <c r="N47" s="67">
        <v>0.17499999999999999</v>
      </c>
      <c r="O47" s="67">
        <v>0.20399999999999999</v>
      </c>
      <c r="P47" s="67">
        <v>0.17499999999999999</v>
      </c>
      <c r="Q47" s="24" t="s">
        <v>41</v>
      </c>
    </row>
    <row r="48" spans="1:17" x14ac:dyDescent="0.2">
      <c r="A48" s="3" t="s">
        <v>301</v>
      </c>
      <c r="B48" s="17">
        <v>3750</v>
      </c>
      <c r="E48" s="15"/>
      <c r="F48" s="15"/>
      <c r="G48" s="72"/>
      <c r="H48" s="72"/>
      <c r="I48" s="72"/>
      <c r="J48" s="73"/>
      <c r="L48" s="5" t="s">
        <v>47</v>
      </c>
      <c r="M48" s="5" t="s">
        <v>230</v>
      </c>
      <c r="N48" s="67">
        <v>0.35</v>
      </c>
      <c r="O48" s="67">
        <v>0.40799999999999997</v>
      </c>
      <c r="P48" s="67">
        <v>0.35</v>
      </c>
      <c r="Q48" s="24" t="s">
        <v>41</v>
      </c>
    </row>
    <row r="49" spans="1:17" x14ac:dyDescent="0.2">
      <c r="A49" s="3" t="s">
        <v>302</v>
      </c>
      <c r="B49" s="17">
        <v>15000</v>
      </c>
      <c r="E49" s="15"/>
      <c r="F49" s="15"/>
      <c r="G49" s="72"/>
      <c r="H49" s="72"/>
      <c r="I49" s="72"/>
      <c r="J49" s="73"/>
      <c r="L49" s="5" t="s">
        <v>47</v>
      </c>
      <c r="M49" s="5" t="s">
        <v>231</v>
      </c>
      <c r="N49" s="67">
        <v>0.7</v>
      </c>
      <c r="O49" s="67">
        <v>0.81699999999999995</v>
      </c>
      <c r="P49" s="67">
        <v>0.7</v>
      </c>
      <c r="Q49" s="24" t="s">
        <v>41</v>
      </c>
    </row>
    <row r="50" spans="1:17" x14ac:dyDescent="0.2">
      <c r="A50" s="3" t="s">
        <v>303</v>
      </c>
      <c r="B50" s="17">
        <v>3333</v>
      </c>
      <c r="E50" s="15"/>
      <c r="F50" s="15"/>
      <c r="G50" s="72"/>
      <c r="H50" s="72"/>
      <c r="I50" s="72"/>
      <c r="J50" s="73"/>
      <c r="L50" s="5" t="s">
        <v>47</v>
      </c>
      <c r="M50" s="5" t="s">
        <v>232</v>
      </c>
      <c r="N50" s="67">
        <v>1.401</v>
      </c>
      <c r="O50" s="67">
        <v>1.6339999999999999</v>
      </c>
      <c r="P50" s="67">
        <v>1.401</v>
      </c>
      <c r="Q50" s="24" t="s">
        <v>41</v>
      </c>
    </row>
    <row r="51" spans="1:17" x14ac:dyDescent="0.2">
      <c r="E51" s="15"/>
      <c r="F51" s="15"/>
      <c r="G51" s="72"/>
      <c r="H51" s="72"/>
      <c r="I51" s="72"/>
      <c r="J51" s="73"/>
      <c r="L51" s="5" t="s">
        <v>47</v>
      </c>
      <c r="M51" s="5" t="s">
        <v>233</v>
      </c>
      <c r="N51" s="67">
        <v>3.5019999999999998</v>
      </c>
      <c r="O51" s="67">
        <v>4.0860000000000003</v>
      </c>
      <c r="P51" s="67">
        <v>3.5019999999999998</v>
      </c>
      <c r="Q51" s="24" t="s">
        <v>41</v>
      </c>
    </row>
    <row r="52" spans="1:17" x14ac:dyDescent="0.2">
      <c r="A52" s="98" t="s">
        <v>304</v>
      </c>
      <c r="B52" s="99" t="s">
        <v>121</v>
      </c>
      <c r="E52" s="15"/>
      <c r="F52" s="15"/>
      <c r="G52" s="72"/>
      <c r="H52" s="72"/>
      <c r="I52" s="72"/>
      <c r="J52" s="73"/>
      <c r="L52" s="5" t="s">
        <v>47</v>
      </c>
      <c r="M52" s="5" t="s">
        <v>224</v>
      </c>
      <c r="N52" s="67">
        <v>0.24</v>
      </c>
      <c r="O52" s="67">
        <v>0.26500000000000001</v>
      </c>
      <c r="P52" s="67">
        <v>0.24</v>
      </c>
      <c r="Q52" s="24" t="s">
        <v>41</v>
      </c>
    </row>
    <row r="53" spans="1:17" x14ac:dyDescent="0.2">
      <c r="B53" s="1">
        <v>300</v>
      </c>
      <c r="E53" s="15"/>
      <c r="F53" s="15"/>
      <c r="G53" s="72"/>
      <c r="H53" s="72"/>
      <c r="I53" s="72"/>
      <c r="J53" s="73"/>
      <c r="L53" s="5" t="s">
        <v>47</v>
      </c>
      <c r="M53" s="5" t="s">
        <v>225</v>
      </c>
      <c r="N53" s="67">
        <v>0.47499999999999998</v>
      </c>
      <c r="O53" s="67">
        <v>0.53</v>
      </c>
      <c r="P53" s="67">
        <v>0.47499999999999998</v>
      </c>
      <c r="Q53" s="24" t="s">
        <v>41</v>
      </c>
    </row>
    <row r="54" spans="1:17" x14ac:dyDescent="0.2">
      <c r="E54" s="15"/>
      <c r="F54" s="15"/>
      <c r="G54" s="72"/>
      <c r="H54" s="72"/>
      <c r="I54" s="72"/>
      <c r="J54" s="73"/>
      <c r="L54" s="5" t="s">
        <v>47</v>
      </c>
      <c r="M54" s="5" t="s">
        <v>226</v>
      </c>
      <c r="N54" s="67">
        <v>0.94499999999999995</v>
      </c>
      <c r="O54" s="67">
        <v>1.0549999999999999</v>
      </c>
      <c r="P54" s="67">
        <v>0.94499999999999995</v>
      </c>
      <c r="Q54" s="24" t="s">
        <v>41</v>
      </c>
    </row>
    <row r="55" spans="1:17" x14ac:dyDescent="0.2">
      <c r="E55" s="15"/>
      <c r="F55" s="15"/>
      <c r="G55" s="72"/>
      <c r="H55" s="72"/>
      <c r="I55" s="72"/>
      <c r="J55" s="73"/>
      <c r="L55" s="5" t="s">
        <v>47</v>
      </c>
      <c r="M55" s="5" t="s">
        <v>227</v>
      </c>
      <c r="N55" s="67">
        <v>1.89</v>
      </c>
      <c r="O55" s="67">
        <v>2.11</v>
      </c>
      <c r="P55" s="67">
        <v>1.89</v>
      </c>
      <c r="Q55" s="24" t="s">
        <v>41</v>
      </c>
    </row>
    <row r="56" spans="1:17" x14ac:dyDescent="0.2">
      <c r="E56" s="15"/>
      <c r="F56" s="15"/>
      <c r="G56" s="72"/>
      <c r="H56" s="72"/>
      <c r="I56" s="72"/>
      <c r="J56" s="73"/>
      <c r="L56" s="5" t="s">
        <v>47</v>
      </c>
      <c r="M56" s="5" t="s">
        <v>228</v>
      </c>
      <c r="N56" s="67">
        <v>3.78</v>
      </c>
      <c r="O56" s="67">
        <v>4.2149999999999999</v>
      </c>
      <c r="P56" s="67">
        <v>3.78</v>
      </c>
      <c r="Q56" s="24" t="s">
        <v>41</v>
      </c>
    </row>
    <row r="57" spans="1:17" x14ac:dyDescent="0.2">
      <c r="E57" s="15"/>
      <c r="F57" s="15"/>
      <c r="G57" s="72"/>
      <c r="H57" s="72"/>
      <c r="I57" s="72"/>
      <c r="J57" s="73"/>
      <c r="L57" s="5" t="s">
        <v>47</v>
      </c>
      <c r="M57" s="5" t="s">
        <v>190</v>
      </c>
      <c r="N57" s="70">
        <v>0.33</v>
      </c>
      <c r="O57" s="70">
        <v>0.36</v>
      </c>
      <c r="P57" s="70">
        <v>0.33</v>
      </c>
      <c r="Q57" s="24" t="s">
        <v>41</v>
      </c>
    </row>
    <row r="58" spans="1:17" x14ac:dyDescent="0.2">
      <c r="E58" s="15"/>
      <c r="F58" s="15"/>
      <c r="G58" s="72"/>
      <c r="H58" s="72"/>
      <c r="I58" s="72"/>
      <c r="J58" s="73"/>
      <c r="L58" s="5" t="s">
        <v>47</v>
      </c>
      <c r="M58" s="5" t="s">
        <v>191</v>
      </c>
      <c r="N58" s="70">
        <v>0.66</v>
      </c>
      <c r="O58" s="70">
        <v>0.72</v>
      </c>
      <c r="P58" s="70">
        <v>0.66</v>
      </c>
      <c r="Q58" s="24" t="s">
        <v>41</v>
      </c>
    </row>
    <row r="59" spans="1:17" x14ac:dyDescent="0.2">
      <c r="E59" s="15"/>
      <c r="F59" s="15"/>
      <c r="G59" s="72"/>
      <c r="H59" s="72"/>
      <c r="I59" s="72"/>
      <c r="J59" s="73"/>
      <c r="L59" s="5" t="s">
        <v>47</v>
      </c>
      <c r="M59" s="5" t="s">
        <v>192</v>
      </c>
      <c r="N59" s="70">
        <v>1.32</v>
      </c>
      <c r="O59" s="70">
        <v>1.44</v>
      </c>
      <c r="P59" s="70">
        <v>1.32</v>
      </c>
      <c r="Q59" s="24" t="s">
        <v>41</v>
      </c>
    </row>
    <row r="60" spans="1:17" x14ac:dyDescent="0.2">
      <c r="E60" s="15"/>
      <c r="F60" s="15"/>
      <c r="G60" s="72"/>
      <c r="H60" s="72"/>
      <c r="I60" s="72"/>
      <c r="J60" s="73"/>
      <c r="L60" s="5" t="s">
        <v>47</v>
      </c>
      <c r="M60" s="5" t="s">
        <v>193</v>
      </c>
      <c r="N60" s="70">
        <v>4.7249999999999996</v>
      </c>
      <c r="O60" s="70" t="s">
        <v>18</v>
      </c>
      <c r="P60" s="70">
        <v>4.7249999999999996</v>
      </c>
      <c r="Q60" s="24" t="s">
        <v>41</v>
      </c>
    </row>
    <row r="61" spans="1:17" x14ac:dyDescent="0.2">
      <c r="E61" s="15"/>
      <c r="F61" s="15"/>
      <c r="G61" s="72"/>
      <c r="H61" s="72"/>
      <c r="I61" s="72"/>
      <c r="J61" s="73"/>
      <c r="L61" s="5" t="s">
        <v>47</v>
      </c>
      <c r="M61" s="5" t="s">
        <v>194</v>
      </c>
      <c r="N61" s="67">
        <v>0.9</v>
      </c>
      <c r="O61" s="67">
        <v>9.5000000000000001E-2</v>
      </c>
      <c r="P61" s="67">
        <v>0.9</v>
      </c>
      <c r="Q61" s="24" t="s">
        <v>41</v>
      </c>
    </row>
    <row r="62" spans="1:17" x14ac:dyDescent="0.2">
      <c r="E62" s="7"/>
      <c r="F62" s="7"/>
      <c r="L62" s="5" t="s">
        <v>47</v>
      </c>
      <c r="M62" s="5" t="s">
        <v>210</v>
      </c>
      <c r="N62" s="67">
        <v>0.185</v>
      </c>
      <c r="O62" s="67">
        <v>0.2</v>
      </c>
      <c r="P62" s="67">
        <v>0.185</v>
      </c>
      <c r="Q62" s="24" t="s">
        <v>41</v>
      </c>
    </row>
    <row r="63" spans="1:17" x14ac:dyDescent="0.2">
      <c r="E63" s="15"/>
      <c r="F63" s="15"/>
      <c r="G63" s="72"/>
      <c r="H63" s="72"/>
      <c r="I63" s="72"/>
      <c r="J63" s="77"/>
      <c r="L63" s="5" t="s">
        <v>47</v>
      </c>
      <c r="M63" s="5" t="s">
        <v>196</v>
      </c>
      <c r="N63" s="67">
        <v>0.37</v>
      </c>
      <c r="O63" s="67">
        <v>0.4</v>
      </c>
      <c r="P63" s="67">
        <v>0.37</v>
      </c>
      <c r="Q63" s="24" t="s">
        <v>41</v>
      </c>
    </row>
    <row r="64" spans="1:17" x14ac:dyDescent="0.2">
      <c r="E64" s="15"/>
      <c r="F64" s="15"/>
      <c r="G64" s="72"/>
      <c r="H64" s="72"/>
      <c r="I64" s="72"/>
      <c r="J64" s="77"/>
      <c r="L64" s="5" t="s">
        <v>47</v>
      </c>
      <c r="M64" s="5" t="s">
        <v>197</v>
      </c>
      <c r="N64" s="67">
        <v>0.74</v>
      </c>
      <c r="O64" s="67">
        <v>0.79500000000000004</v>
      </c>
      <c r="P64" s="67">
        <v>0.74</v>
      </c>
      <c r="Q64" s="24" t="s">
        <v>41</v>
      </c>
    </row>
    <row r="65" spans="5:17" x14ac:dyDescent="0.2">
      <c r="E65" s="15"/>
      <c r="F65" s="15"/>
      <c r="G65" s="72"/>
      <c r="H65" s="72"/>
      <c r="I65" s="72"/>
      <c r="J65" s="77"/>
      <c r="L65" s="5" t="s">
        <v>47</v>
      </c>
      <c r="M65" s="5" t="s">
        <v>239</v>
      </c>
      <c r="N65" s="67">
        <v>0.35</v>
      </c>
      <c r="O65" s="67">
        <v>0.40799999999999997</v>
      </c>
      <c r="P65" s="67">
        <v>0.35</v>
      </c>
      <c r="Q65" s="24" t="s">
        <v>41</v>
      </c>
    </row>
    <row r="66" spans="5:17" x14ac:dyDescent="0.2">
      <c r="E66" s="15"/>
      <c r="F66" s="15"/>
      <c r="G66" s="72"/>
      <c r="H66" s="72"/>
      <c r="I66" s="72"/>
      <c r="J66" s="77"/>
      <c r="L66" s="5" t="s">
        <v>47</v>
      </c>
      <c r="M66" s="5" t="s">
        <v>240</v>
      </c>
      <c r="N66" s="67">
        <v>0.7</v>
      </c>
      <c r="O66" s="67">
        <v>0.81599999999999995</v>
      </c>
      <c r="P66" s="67">
        <v>0.7</v>
      </c>
      <c r="Q66" s="24" t="s">
        <v>41</v>
      </c>
    </row>
    <row r="67" spans="5:17" x14ac:dyDescent="0.2">
      <c r="E67" s="15"/>
      <c r="F67" s="15"/>
      <c r="G67" s="72"/>
      <c r="H67" s="72"/>
      <c r="I67" s="72"/>
      <c r="J67" s="77"/>
      <c r="L67" s="5" t="s">
        <v>47</v>
      </c>
      <c r="M67" s="5" t="s">
        <v>241</v>
      </c>
      <c r="N67" s="67">
        <v>1.4</v>
      </c>
      <c r="O67" s="67">
        <v>1.6339999999999999</v>
      </c>
      <c r="P67" s="67">
        <v>1.4</v>
      </c>
      <c r="Q67" s="24" t="s">
        <v>41</v>
      </c>
    </row>
    <row r="68" spans="5:17" x14ac:dyDescent="0.2">
      <c r="E68" s="15"/>
      <c r="F68" s="15"/>
      <c r="G68" s="72"/>
      <c r="H68" s="72"/>
      <c r="I68" s="72"/>
      <c r="J68" s="77"/>
      <c r="L68" s="5" t="s">
        <v>47</v>
      </c>
      <c r="M68" s="5" t="s">
        <v>242</v>
      </c>
      <c r="N68" s="67">
        <v>2.802</v>
      </c>
      <c r="O68" s="67">
        <v>3.2679999999999998</v>
      </c>
      <c r="P68" s="67">
        <v>2.802</v>
      </c>
      <c r="Q68" s="24" t="s">
        <v>41</v>
      </c>
    </row>
    <row r="69" spans="5:17" x14ac:dyDescent="0.2">
      <c r="E69" s="15"/>
      <c r="F69" s="15"/>
      <c r="G69" s="72"/>
      <c r="H69" s="72"/>
      <c r="I69" s="72"/>
      <c r="J69" s="77"/>
      <c r="L69" s="5" t="s">
        <v>47</v>
      </c>
      <c r="M69" s="5" t="s">
        <v>243</v>
      </c>
      <c r="N69" s="67">
        <v>7.0039999999999996</v>
      </c>
      <c r="O69" s="67">
        <v>8.1720000000000006</v>
      </c>
      <c r="P69" s="67">
        <v>7.0039999999999996</v>
      </c>
      <c r="Q69" s="24" t="s">
        <v>41</v>
      </c>
    </row>
    <row r="70" spans="5:17" x14ac:dyDescent="0.2">
      <c r="E70" s="15"/>
      <c r="F70" s="15"/>
      <c r="G70" s="72"/>
      <c r="H70" s="72"/>
      <c r="I70" s="72"/>
      <c r="J70" s="77"/>
      <c r="L70" s="5" t="s">
        <v>47</v>
      </c>
      <c r="M70" s="5" t="s">
        <v>234</v>
      </c>
      <c r="N70" s="67">
        <v>0.48</v>
      </c>
      <c r="O70" s="67">
        <v>0.53</v>
      </c>
      <c r="P70" s="67">
        <v>0.48</v>
      </c>
      <c r="Q70" s="24" t="s">
        <v>41</v>
      </c>
    </row>
    <row r="71" spans="5:17" x14ac:dyDescent="0.2">
      <c r="E71" s="15"/>
      <c r="F71" s="15"/>
      <c r="G71" s="72"/>
      <c r="H71" s="72"/>
      <c r="I71" s="72"/>
      <c r="J71" s="77"/>
      <c r="L71" s="5" t="s">
        <v>47</v>
      </c>
      <c r="M71" s="5" t="s">
        <v>235</v>
      </c>
      <c r="N71" s="67">
        <v>0.95</v>
      </c>
      <c r="O71" s="67">
        <v>1.06</v>
      </c>
      <c r="P71" s="67">
        <v>0.95</v>
      </c>
      <c r="Q71" s="24" t="s">
        <v>41</v>
      </c>
    </row>
    <row r="72" spans="5:17" x14ac:dyDescent="0.2">
      <c r="E72" s="15"/>
      <c r="F72" s="15"/>
      <c r="G72" s="72"/>
      <c r="H72" s="72"/>
      <c r="I72" s="72"/>
      <c r="J72" s="77"/>
      <c r="L72" s="5" t="s">
        <v>47</v>
      </c>
      <c r="M72" s="5" t="s">
        <v>236</v>
      </c>
      <c r="N72" s="67">
        <v>1.89</v>
      </c>
      <c r="O72" s="67">
        <v>2.11</v>
      </c>
      <c r="P72" s="67">
        <v>1.89</v>
      </c>
      <c r="Q72" s="24" t="s">
        <v>41</v>
      </c>
    </row>
    <row r="73" spans="5:17" x14ac:dyDescent="0.2">
      <c r="E73" s="15"/>
      <c r="F73" s="15"/>
      <c r="G73" s="72"/>
      <c r="H73" s="72"/>
      <c r="I73" s="72"/>
      <c r="J73" s="77"/>
      <c r="L73" s="5" t="s">
        <v>47</v>
      </c>
      <c r="M73" s="5" t="s">
        <v>237</v>
      </c>
      <c r="N73" s="67">
        <v>3.78</v>
      </c>
      <c r="O73" s="67">
        <v>4.22</v>
      </c>
      <c r="P73" s="67">
        <v>3.78</v>
      </c>
      <c r="Q73" s="24" t="s">
        <v>41</v>
      </c>
    </row>
    <row r="74" spans="5:17" x14ac:dyDescent="0.2">
      <c r="E74" s="15"/>
      <c r="F74" s="15"/>
      <c r="G74" s="72"/>
      <c r="H74" s="72"/>
      <c r="I74" s="72"/>
      <c r="J74" s="77"/>
      <c r="L74" s="5" t="s">
        <v>47</v>
      </c>
      <c r="M74" s="5" t="s">
        <v>238</v>
      </c>
      <c r="N74" s="67">
        <v>7.56</v>
      </c>
      <c r="O74" s="67">
        <v>8.43</v>
      </c>
      <c r="P74" s="67">
        <v>7.56</v>
      </c>
      <c r="Q74" s="24" t="s">
        <v>41</v>
      </c>
    </row>
    <row r="75" spans="5:17" x14ac:dyDescent="0.2">
      <c r="E75" s="15"/>
      <c r="F75" s="15"/>
      <c r="G75" s="72"/>
      <c r="H75" s="72"/>
      <c r="I75" s="72"/>
      <c r="J75" s="77"/>
      <c r="L75" s="5" t="s">
        <v>47</v>
      </c>
      <c r="M75" s="5" t="s">
        <v>198</v>
      </c>
      <c r="N75" s="70">
        <v>0.66</v>
      </c>
      <c r="O75" s="70">
        <v>0.72</v>
      </c>
      <c r="P75" s="70">
        <v>0.66</v>
      </c>
      <c r="Q75" s="24" t="s">
        <v>41</v>
      </c>
    </row>
    <row r="76" spans="5:17" x14ac:dyDescent="0.2">
      <c r="E76" s="15"/>
      <c r="F76" s="15"/>
      <c r="G76" s="72"/>
      <c r="H76" s="72"/>
      <c r="I76" s="72"/>
      <c r="J76" s="77"/>
      <c r="L76" s="5" t="s">
        <v>47</v>
      </c>
      <c r="M76" s="5" t="s">
        <v>199</v>
      </c>
      <c r="N76" s="70">
        <v>1.32</v>
      </c>
      <c r="O76" s="70">
        <v>1.44</v>
      </c>
      <c r="P76" s="70">
        <v>1.32</v>
      </c>
      <c r="Q76" s="24" t="s">
        <v>41</v>
      </c>
    </row>
    <row r="77" spans="5:17" x14ac:dyDescent="0.2">
      <c r="E77" s="15"/>
      <c r="F77" s="15"/>
      <c r="G77" s="72"/>
      <c r="H77" s="72"/>
      <c r="I77" s="72"/>
      <c r="J77" s="77"/>
      <c r="L77" s="5" t="s">
        <v>47</v>
      </c>
      <c r="M77" s="5" t="s">
        <v>200</v>
      </c>
      <c r="N77" s="70">
        <v>2.64</v>
      </c>
      <c r="O77" s="70">
        <v>2.88</v>
      </c>
      <c r="P77" s="70">
        <v>2.64</v>
      </c>
      <c r="Q77" s="24" t="s">
        <v>41</v>
      </c>
    </row>
    <row r="78" spans="5:17" x14ac:dyDescent="0.2">
      <c r="E78" s="15"/>
      <c r="F78" s="15"/>
      <c r="G78" s="72"/>
      <c r="H78" s="72"/>
      <c r="I78" s="72"/>
      <c r="J78" s="77"/>
      <c r="L78" s="5" t="s">
        <v>47</v>
      </c>
      <c r="M78" s="5" t="s">
        <v>201</v>
      </c>
      <c r="N78" s="70">
        <v>8.0350000000000001</v>
      </c>
      <c r="O78" s="70" t="s">
        <v>18</v>
      </c>
      <c r="P78" s="70">
        <v>8.0350000000000001</v>
      </c>
      <c r="Q78" s="24" t="s">
        <v>41</v>
      </c>
    </row>
    <row r="79" spans="5:17" x14ac:dyDescent="0.2">
      <c r="L79"/>
      <c r="M79"/>
    </row>
    <row r="80" spans="5:17" x14ac:dyDescent="0.2">
      <c r="E80" s="15"/>
      <c r="F80" s="15"/>
      <c r="G80" s="72"/>
      <c r="H80" s="72"/>
      <c r="I80" s="72"/>
      <c r="J80" s="77"/>
      <c r="L80" s="5" t="s">
        <v>58</v>
      </c>
      <c r="M80" s="5" t="s">
        <v>54</v>
      </c>
      <c r="N80" s="67">
        <v>0.115</v>
      </c>
      <c r="O80" s="67">
        <v>0.13800000000000001</v>
      </c>
      <c r="P80" s="67">
        <v>0.115</v>
      </c>
      <c r="Q80" s="23" t="s">
        <v>37</v>
      </c>
    </row>
    <row r="81" spans="12:17" x14ac:dyDescent="0.2">
      <c r="L81" s="5" t="s">
        <v>58</v>
      </c>
      <c r="M81" s="5" t="s">
        <v>55</v>
      </c>
      <c r="N81" s="67">
        <v>0.1</v>
      </c>
      <c r="O81" s="67">
        <v>0.11</v>
      </c>
      <c r="P81" s="67">
        <v>0.1</v>
      </c>
      <c r="Q81" s="23" t="s">
        <v>38</v>
      </c>
    </row>
    <row r="82" spans="12:17" x14ac:dyDescent="0.2">
      <c r="L82" s="5" t="s">
        <v>58</v>
      </c>
      <c r="M82" s="5" t="s">
        <v>52</v>
      </c>
      <c r="N82" s="67">
        <v>0.125</v>
      </c>
      <c r="O82" s="67">
        <v>0.13800000000000001</v>
      </c>
      <c r="P82" s="67">
        <v>0.125</v>
      </c>
      <c r="Q82" s="23" t="s">
        <v>37</v>
      </c>
    </row>
    <row r="83" spans="12:17" x14ac:dyDescent="0.2">
      <c r="L83" s="5" t="s">
        <v>58</v>
      </c>
      <c r="M83" s="5" t="s">
        <v>53</v>
      </c>
      <c r="N83" s="70">
        <v>0.1</v>
      </c>
      <c r="O83" s="70">
        <v>0.11</v>
      </c>
      <c r="P83" s="70">
        <v>0.1</v>
      </c>
      <c r="Q83" s="23" t="s">
        <v>39</v>
      </c>
    </row>
    <row r="84" spans="12:17" x14ac:dyDescent="0.2">
      <c r="L84" s="5" t="s">
        <v>58</v>
      </c>
      <c r="M84" s="5" t="s">
        <v>56</v>
      </c>
      <c r="N84" s="67">
        <v>0.25</v>
      </c>
      <c r="O84" s="67">
        <v>0.27600000000000002</v>
      </c>
      <c r="P84" s="67">
        <v>0.25</v>
      </c>
      <c r="Q84" s="23" t="s">
        <v>37</v>
      </c>
    </row>
    <row r="85" spans="12:17" x14ac:dyDescent="0.2">
      <c r="L85" s="5" t="s">
        <v>58</v>
      </c>
      <c r="M85" s="5" t="s">
        <v>57</v>
      </c>
      <c r="N85" s="67">
        <v>0.2</v>
      </c>
      <c r="O85" s="67">
        <v>0.22</v>
      </c>
      <c r="P85" s="67">
        <v>0.2</v>
      </c>
      <c r="Q85" s="23" t="s">
        <v>39</v>
      </c>
    </row>
    <row r="87" spans="12:17" x14ac:dyDescent="0.2">
      <c r="L87" s="5" t="s">
        <v>100</v>
      </c>
      <c r="M87" s="5" t="s">
        <v>100</v>
      </c>
      <c r="N87" s="67">
        <v>3.5</v>
      </c>
      <c r="O87" s="67">
        <v>3.5</v>
      </c>
      <c r="P87" s="67">
        <v>3.5</v>
      </c>
      <c r="Q87" s="23" t="s">
        <v>39</v>
      </c>
    </row>
    <row r="89" spans="12:17" x14ac:dyDescent="0.2">
      <c r="L89" s="24" t="s">
        <v>269</v>
      </c>
      <c r="M89" s="24" t="s">
        <v>270</v>
      </c>
      <c r="N89" s="90">
        <v>0</v>
      </c>
      <c r="O89" s="90">
        <v>0</v>
      </c>
      <c r="P89" s="90">
        <v>0</v>
      </c>
      <c r="Q89" s="91" t="s">
        <v>41</v>
      </c>
    </row>
    <row r="90" spans="12:17" x14ac:dyDescent="0.2">
      <c r="L90" s="24" t="s">
        <v>269</v>
      </c>
      <c r="M90" s="92" t="s">
        <v>272</v>
      </c>
      <c r="N90" s="93">
        <v>1.7000000000000001E-2</v>
      </c>
      <c r="O90" s="93">
        <v>2.1999999999999999E-2</v>
      </c>
      <c r="P90" s="93">
        <v>1.7000000000000001E-2</v>
      </c>
      <c r="Q90" s="91" t="s">
        <v>41</v>
      </c>
    </row>
    <row r="91" spans="12:17" x14ac:dyDescent="0.2">
      <c r="L91" s="24" t="s">
        <v>269</v>
      </c>
      <c r="M91" s="92" t="s">
        <v>273</v>
      </c>
      <c r="N91" s="90">
        <v>3.4000000000000002E-2</v>
      </c>
      <c r="O91" s="90">
        <v>4.3999999999999997E-2</v>
      </c>
      <c r="P91" s="90">
        <v>3.4000000000000002E-2</v>
      </c>
      <c r="Q91" s="91" t="s">
        <v>41</v>
      </c>
    </row>
    <row r="92" spans="12:17" x14ac:dyDescent="0.2">
      <c r="L92" s="24" t="s">
        <v>269</v>
      </c>
      <c r="M92" s="92" t="s">
        <v>274</v>
      </c>
      <c r="N92" s="93">
        <v>6.8000000000000005E-2</v>
      </c>
      <c r="O92" s="93">
        <v>8.7999999999999995E-2</v>
      </c>
      <c r="P92" s="93">
        <v>6.8000000000000005E-2</v>
      </c>
      <c r="Q92" s="91" t="s">
        <v>41</v>
      </c>
    </row>
    <row r="93" spans="12:17" x14ac:dyDescent="0.2">
      <c r="L93" s="24" t="s">
        <v>269</v>
      </c>
      <c r="M93" s="92" t="s">
        <v>275</v>
      </c>
      <c r="N93" s="90">
        <v>0.09</v>
      </c>
      <c r="O93" s="93">
        <v>9.5000000000000001E-2</v>
      </c>
      <c r="P93" s="90">
        <v>0.09</v>
      </c>
      <c r="Q93" s="91" t="s">
        <v>41</v>
      </c>
    </row>
    <row r="94" spans="12:17" x14ac:dyDescent="0.2">
      <c r="L94" s="24" t="s">
        <v>269</v>
      </c>
      <c r="M94" s="92" t="s">
        <v>276</v>
      </c>
      <c r="N94" s="93">
        <v>0.182</v>
      </c>
      <c r="O94" s="93">
        <v>0.2</v>
      </c>
      <c r="P94" s="93">
        <v>0.182</v>
      </c>
      <c r="Q94" s="91" t="s">
        <v>41</v>
      </c>
    </row>
    <row r="95" spans="12:17" x14ac:dyDescent="0.2">
      <c r="L95" s="24" t="s">
        <v>269</v>
      </c>
      <c r="M95" s="92" t="s">
        <v>277</v>
      </c>
      <c r="N95" s="90">
        <v>0.36399999999999999</v>
      </c>
      <c r="O95" s="93">
        <v>0.4</v>
      </c>
      <c r="P95" s="90">
        <v>0.36399999999999999</v>
      </c>
      <c r="Q95" s="91" t="s">
        <v>41</v>
      </c>
    </row>
    <row r="96" spans="12:17" x14ac:dyDescent="0.2">
      <c r="L96" s="24" t="s">
        <v>269</v>
      </c>
      <c r="M96" s="24" t="s">
        <v>278</v>
      </c>
      <c r="N96" s="93">
        <v>0.72799999999999998</v>
      </c>
      <c r="O96" s="93">
        <v>0.79500000000000004</v>
      </c>
      <c r="P96" s="93">
        <v>0.72799999999999998</v>
      </c>
      <c r="Q96" s="91" t="s">
        <v>41</v>
      </c>
    </row>
    <row r="97" spans="12:17" x14ac:dyDescent="0.2">
      <c r="L97" s="24" t="s">
        <v>269</v>
      </c>
      <c r="M97" s="24" t="s">
        <v>279</v>
      </c>
      <c r="N97" s="90">
        <v>0.156</v>
      </c>
      <c r="O97" s="93">
        <v>0.182</v>
      </c>
      <c r="P97" s="90">
        <v>0.156</v>
      </c>
      <c r="Q97" s="91" t="s">
        <v>41</v>
      </c>
    </row>
    <row r="98" spans="12:17" x14ac:dyDescent="0.2">
      <c r="L98" s="24" t="s">
        <v>269</v>
      </c>
      <c r="M98" s="24" t="s">
        <v>280</v>
      </c>
      <c r="N98" s="93">
        <v>0.311</v>
      </c>
      <c r="O98" s="93">
        <v>0.36299999999999999</v>
      </c>
      <c r="P98" s="93">
        <v>0.311</v>
      </c>
      <c r="Q98" s="91" t="s">
        <v>41</v>
      </c>
    </row>
    <row r="99" spans="12:17" x14ac:dyDescent="0.2">
      <c r="L99" s="24" t="s">
        <v>269</v>
      </c>
      <c r="M99" s="24" t="s">
        <v>281</v>
      </c>
      <c r="N99" s="90">
        <v>0.623</v>
      </c>
      <c r="O99" s="93">
        <v>0.72699999999999998</v>
      </c>
      <c r="P99" s="90">
        <v>0.623</v>
      </c>
      <c r="Q99" s="91" t="s">
        <v>41</v>
      </c>
    </row>
    <row r="100" spans="12:17" x14ac:dyDescent="0.2">
      <c r="L100" s="24" t="s">
        <v>269</v>
      </c>
      <c r="M100" s="24" t="s">
        <v>282</v>
      </c>
      <c r="N100" s="94">
        <v>1.2450000000000001</v>
      </c>
      <c r="O100" s="94">
        <v>1.452</v>
      </c>
      <c r="P100" s="94">
        <v>1.2450000000000001</v>
      </c>
      <c r="Q100" s="91" t="s">
        <v>41</v>
      </c>
    </row>
    <row r="101" spans="12:17" x14ac:dyDescent="0.2">
      <c r="L101" s="24" t="s">
        <v>269</v>
      </c>
      <c r="M101" s="24" t="s">
        <v>283</v>
      </c>
      <c r="N101" s="70">
        <v>3.1120000000000001</v>
      </c>
      <c r="O101" s="94">
        <v>3.6309999999999998</v>
      </c>
      <c r="P101" s="70">
        <v>3.1120000000000001</v>
      </c>
      <c r="Q101" s="91" t="s">
        <v>41</v>
      </c>
    </row>
    <row r="102" spans="12:17" x14ac:dyDescent="0.2">
      <c r="L102" s="24" t="s">
        <v>269</v>
      </c>
      <c r="M102" s="24" t="s">
        <v>284</v>
      </c>
      <c r="N102" s="93">
        <v>0.22800000000000001</v>
      </c>
      <c r="O102" s="93">
        <v>0.254</v>
      </c>
      <c r="P102" s="93">
        <v>0.22800000000000001</v>
      </c>
      <c r="Q102" s="91" t="s">
        <v>41</v>
      </c>
    </row>
    <row r="103" spans="12:17" x14ac:dyDescent="0.2">
      <c r="L103" s="24" t="s">
        <v>269</v>
      </c>
      <c r="M103" s="24" t="s">
        <v>285</v>
      </c>
      <c r="N103" s="90">
        <v>0.45500000000000002</v>
      </c>
      <c r="O103" s="93">
        <v>0.50700000000000001</v>
      </c>
      <c r="P103" s="90">
        <v>0.45500000000000002</v>
      </c>
      <c r="Q103" s="91" t="s">
        <v>41</v>
      </c>
    </row>
    <row r="104" spans="12:17" x14ac:dyDescent="0.2">
      <c r="L104" s="24" t="s">
        <v>269</v>
      </c>
      <c r="M104" s="24" t="s">
        <v>286</v>
      </c>
      <c r="N104" s="93">
        <v>0.91</v>
      </c>
      <c r="O104" s="93">
        <v>1.014</v>
      </c>
      <c r="P104" s="93">
        <v>0.91</v>
      </c>
      <c r="Q104" s="91" t="s">
        <v>41</v>
      </c>
    </row>
    <row r="105" spans="12:17" x14ac:dyDescent="0.2">
      <c r="L105" s="24" t="s">
        <v>269</v>
      </c>
      <c r="M105" s="24" t="s">
        <v>287</v>
      </c>
      <c r="N105" s="70">
        <v>1.82</v>
      </c>
      <c r="O105" s="94">
        <v>2.028</v>
      </c>
      <c r="P105" s="70">
        <v>1.82</v>
      </c>
      <c r="Q105" s="91" t="s">
        <v>41</v>
      </c>
    </row>
    <row r="106" spans="12:17" x14ac:dyDescent="0.2">
      <c r="L106" s="24" t="s">
        <v>269</v>
      </c>
      <c r="M106" s="24" t="s">
        <v>288</v>
      </c>
      <c r="N106" s="94">
        <v>3.64</v>
      </c>
      <c r="O106" s="94">
        <v>4.056</v>
      </c>
      <c r="P106" s="94">
        <v>3.64</v>
      </c>
      <c r="Q106" s="91" t="s">
        <v>41</v>
      </c>
    </row>
    <row r="108" spans="12:17" x14ac:dyDescent="0.2">
      <c r="L108" s="24" t="s">
        <v>62</v>
      </c>
      <c r="M108" s="24" t="s">
        <v>62</v>
      </c>
      <c r="N108" s="95">
        <v>0</v>
      </c>
      <c r="O108" s="95">
        <v>0</v>
      </c>
      <c r="P108" s="95">
        <v>0</v>
      </c>
      <c r="Q108" s="91" t="s">
        <v>41</v>
      </c>
    </row>
    <row r="109" spans="12:17" x14ac:dyDescent="0.2">
      <c r="L109" s="24" t="s">
        <v>292</v>
      </c>
      <c r="M109" s="24" t="s">
        <v>293</v>
      </c>
      <c r="N109" s="95">
        <v>4.1000000000000002E-2</v>
      </c>
      <c r="O109" s="95">
        <v>5.2999999999999999E-2</v>
      </c>
      <c r="P109" s="95">
        <v>4.1000000000000002E-2</v>
      </c>
      <c r="Q109" s="91" t="s">
        <v>41</v>
      </c>
    </row>
    <row r="110" spans="12:17" x14ac:dyDescent="0.2">
      <c r="L110" s="24" t="s">
        <v>292</v>
      </c>
      <c r="M110" s="24" t="s">
        <v>294</v>
      </c>
      <c r="N110" s="95">
        <v>8.2000000000000003E-2</v>
      </c>
      <c r="O110" s="95">
        <v>0.106</v>
      </c>
      <c r="P110" s="95">
        <v>8.2000000000000003E-2</v>
      </c>
      <c r="Q110" s="91" t="s">
        <v>41</v>
      </c>
    </row>
    <row r="111" spans="12:17" x14ac:dyDescent="0.2">
      <c r="L111" s="24" t="s">
        <v>292</v>
      </c>
      <c r="M111" s="24" t="s">
        <v>295</v>
      </c>
      <c r="N111" s="95">
        <v>0.28999999999999998</v>
      </c>
      <c r="O111" s="95">
        <v>0.32</v>
      </c>
      <c r="P111" s="95">
        <v>0.28999999999999998</v>
      </c>
      <c r="Q111" s="91" t="s">
        <v>41</v>
      </c>
    </row>
    <row r="112" spans="12:17" x14ac:dyDescent="0.2">
      <c r="L112" s="24" t="s">
        <v>292</v>
      </c>
      <c r="M112" s="24" t="s">
        <v>296</v>
      </c>
      <c r="N112" s="95">
        <v>0.57999999999999996</v>
      </c>
      <c r="O112" s="95">
        <v>0.64</v>
      </c>
      <c r="P112" s="95">
        <v>0.57999999999999996</v>
      </c>
      <c r="Q112" s="91" t="s">
        <v>41</v>
      </c>
    </row>
    <row r="113" spans="12:17" x14ac:dyDescent="0.2">
      <c r="L113" s="24" t="s">
        <v>292</v>
      </c>
      <c r="M113" s="24" t="s">
        <v>297</v>
      </c>
      <c r="N113" s="96">
        <v>1.1599999999999999</v>
      </c>
      <c r="O113" s="96">
        <v>1.28</v>
      </c>
      <c r="P113" s="96">
        <v>1.1599999999999999</v>
      </c>
      <c r="Q113" s="91" t="s">
        <v>41</v>
      </c>
    </row>
    <row r="114" spans="12:17" x14ac:dyDescent="0.2">
      <c r="L114" s="24" t="s">
        <v>292</v>
      </c>
      <c r="M114" s="24" t="s">
        <v>298</v>
      </c>
      <c r="N114" s="96">
        <v>2.3199999999999998</v>
      </c>
      <c r="O114" s="96">
        <v>2.56</v>
      </c>
      <c r="P114" s="96">
        <v>2.3199999999999998</v>
      </c>
      <c r="Q114" s="91" t="s">
        <v>41</v>
      </c>
    </row>
    <row r="115" spans="12:17" x14ac:dyDescent="0.2">
      <c r="L115" s="24" t="s">
        <v>292</v>
      </c>
      <c r="M115" s="24" t="s">
        <v>299</v>
      </c>
      <c r="N115" s="96">
        <v>4.6399999999999997</v>
      </c>
      <c r="O115" s="96">
        <v>5.12</v>
      </c>
      <c r="P115" s="96">
        <v>4.6399999999999997</v>
      </c>
      <c r="Q115" s="91" t="s">
        <v>41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Worksheet</vt:lpstr>
      <vt:lpstr>Costs</vt:lpstr>
    </vt:vector>
  </TitlesOfParts>
  <Company>American Institutes for Research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dlopezdequintana</dc:creator>
  <cp:lastModifiedBy>Microsoft Office User</cp:lastModifiedBy>
  <cp:lastPrinted>2013-10-14T17:11:22Z</cp:lastPrinted>
  <dcterms:created xsi:type="dcterms:W3CDTF">2013-06-13T12:59:41Z</dcterms:created>
  <dcterms:modified xsi:type="dcterms:W3CDTF">2017-07-13T20:08:53Z</dcterms:modified>
</cp:coreProperties>
</file>